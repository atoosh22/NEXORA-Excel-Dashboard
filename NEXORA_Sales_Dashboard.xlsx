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A6CD6ED2-564A-4EDD-A4EF-F78151A5E9F7}" xr6:coauthVersionLast="47" xr6:coauthVersionMax="47" xr10:uidLastSave="{00000000-0000-0000-0000-000000000000}"/>
  <bookViews>
    <workbookView xWindow="-110" yWindow="-110" windowWidth="19420" windowHeight="11020" activeTab="2" xr2:uid="{49CE1794-6BB4-434E-B60B-2D57FACCD049}"/>
  </bookViews>
  <sheets>
    <sheet name="Pivot table" sheetId="2" r:id="rId1"/>
    <sheet name="Row Data" sheetId="5" r:id="rId2"/>
    <sheet name="Dashboard" sheetId="4" r:id="rId3"/>
  </sheets>
  <definedNames>
    <definedName name="Slicer_Category">#N/A</definedName>
    <definedName name="Slicer_City">#N/A</definedName>
    <definedName name="Slicer_Country">#N/A</definedName>
    <definedName name="Slicer_Month">#N/A</definedName>
    <definedName name="Slicer_Product">#N/A</definedName>
    <definedName name="Slicer_Salesperson">#N/A</definedName>
    <definedName name="Slicer_Unit_Pric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2" i="5" l="1"/>
  <c r="L32" i="2"/>
</calcChain>
</file>

<file path=xl/sharedStrings.xml><?xml version="1.0" encoding="utf-8"?>
<sst xmlns="http://schemas.openxmlformats.org/spreadsheetml/2006/main" count="452" uniqueCount="54">
  <si>
    <t>Order_ID</t>
  </si>
  <si>
    <t>Date</t>
  </si>
  <si>
    <t>Country</t>
  </si>
  <si>
    <t>City</t>
  </si>
  <si>
    <t>Product</t>
  </si>
  <si>
    <t>Category</t>
  </si>
  <si>
    <t>Quantity</t>
  </si>
  <si>
    <t>Unit_Price</t>
  </si>
  <si>
    <t>Salesperson</t>
  </si>
  <si>
    <t>Somalia</t>
  </si>
  <si>
    <t>Mogadishu</t>
  </si>
  <si>
    <t>Laptop</t>
  </si>
  <si>
    <t>Electronics</t>
  </si>
  <si>
    <t>Hargeisa</t>
  </si>
  <si>
    <t>Mouse</t>
  </si>
  <si>
    <t>Accessories</t>
  </si>
  <si>
    <t>Garowe</t>
  </si>
  <si>
    <t>Keyboard</t>
  </si>
  <si>
    <t>Hassan</t>
  </si>
  <si>
    <t>Monitor</t>
  </si>
  <si>
    <t>Mohamed</t>
  </si>
  <si>
    <t>Printer</t>
  </si>
  <si>
    <t>Office</t>
  </si>
  <si>
    <t>Ahmed</t>
  </si>
  <si>
    <t>Kenya</t>
  </si>
  <si>
    <t>Nairobi</t>
  </si>
  <si>
    <t>Amina</t>
  </si>
  <si>
    <t>Ethiopia</t>
  </si>
  <si>
    <t>Addis Ababa</t>
  </si>
  <si>
    <t>Djibouti</t>
  </si>
  <si>
    <t>Djibouti City</t>
  </si>
  <si>
    <t>Mombasa</t>
  </si>
  <si>
    <t>Uganda</t>
  </si>
  <si>
    <t>Kampala</t>
  </si>
  <si>
    <t>Tanzania</t>
  </si>
  <si>
    <t>Dar es Salaam</t>
  </si>
  <si>
    <t>Dire Dawa</t>
  </si>
  <si>
    <t>Total_Sales</t>
  </si>
  <si>
    <t>Month</t>
  </si>
  <si>
    <t>Year</t>
  </si>
  <si>
    <t>January</t>
  </si>
  <si>
    <t>February</t>
  </si>
  <si>
    <t>March</t>
  </si>
  <si>
    <t>April</t>
  </si>
  <si>
    <t>May</t>
  </si>
  <si>
    <t>June</t>
  </si>
  <si>
    <t>July</t>
  </si>
  <si>
    <t>August</t>
  </si>
  <si>
    <t>September</t>
  </si>
  <si>
    <t>October</t>
  </si>
  <si>
    <t>Total</t>
  </si>
  <si>
    <t>Grand Total</t>
  </si>
  <si>
    <t>Sum of Total_Sales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</si>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</sst>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0000"/>
      <name val="Times New Roman"/>
      <family val="1"/>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2" borderId="0" xfId="0" applyFill="1"/>
    <xf numFmtId="0" fontId="0" fillId="0" borderId="0" xfId="0" applyNumberFormat="1"/>
    <xf numFmtId="0" fontId="1" fillId="0" borderId="0" xfId="0" applyNumberFormat="1" applyFont="1"/>
  </cellXfs>
  <cellStyles count="1">
    <cellStyle name="Normal" xfId="0" builtinId="0"/>
  </cellStyles>
  <dxfs count="53">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font>
        <color rgb="FFFF0000"/>
      </font>
    </dxf>
    <dxf>
      <font>
        <b/>
      </font>
    </dxf>
    <dxf>
      <font>
        <name val="Times New Roman"/>
        <family val="1"/>
        <scheme val="none"/>
      </font>
    </dxf>
    <dxf>
      <numFmt numFmtId="19" formatCode="m/d/yyyy"/>
    </dxf>
    <dxf>
      <numFmt numFmtId="19" formatCode="m/d/yyyy"/>
    </dxf>
    <dxf>
      <font>
        <name val="Times New Roman"/>
        <family val="1"/>
        <scheme val="none"/>
      </font>
    </dxf>
    <dxf>
      <font>
        <b/>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by products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2"/>
          </a:solidFill>
          <a:ln>
            <a:noFill/>
          </a:ln>
          <a:effectLst/>
        </c:spPr>
      </c:pivotFmt>
      <c:pivotFmt>
        <c:idx val="21"/>
        <c:spPr>
          <a:solidFill>
            <a:schemeClr val="accent3"/>
          </a:solidFill>
          <a:ln>
            <a:noFill/>
          </a:ln>
          <a:effectLst/>
        </c:spPr>
      </c:pivotFmt>
      <c:pivotFmt>
        <c:idx val="22"/>
        <c:spPr>
          <a:solidFill>
            <a:schemeClr val="accent4"/>
          </a:solidFill>
          <a:ln>
            <a:noFill/>
          </a:ln>
          <a:effectLst/>
        </c:spPr>
      </c:pivotFmt>
      <c:pivotFmt>
        <c:idx val="23"/>
        <c:spPr>
          <a:solidFill>
            <a:schemeClr val="accent5"/>
          </a:solidFill>
          <a:ln>
            <a:noFill/>
          </a:ln>
          <a:effectLst/>
        </c:spPr>
      </c:pivotFmt>
    </c:pivotFmts>
    <c:plotArea>
      <c:layout/>
      <c:barChart>
        <c:barDir val="col"/>
        <c:grouping val="clustered"/>
        <c:varyColors val="1"/>
        <c:ser>
          <c:idx val="0"/>
          <c:order val="0"/>
          <c:tx>
            <c:strRef>
              <c:f>'Pivot table'!$O$3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80DA-451F-A060-833D16D32FD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E-80DA-451F-A060-833D16D32FD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10-80DA-451F-A060-833D16D32FD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12-80DA-451F-A060-833D16D32FD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14-80DA-451F-A060-833D16D32F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table'!$N$4:$N$9</c:f>
              <c:strCache>
                <c:ptCount val="5"/>
                <c:pt idx="0">
                  <c:v>Keyboard</c:v>
                </c:pt>
                <c:pt idx="1">
                  <c:v>Laptop</c:v>
                </c:pt>
                <c:pt idx="2">
                  <c:v>Monitor</c:v>
                </c:pt>
                <c:pt idx="3">
                  <c:v>Mouse</c:v>
                </c:pt>
                <c:pt idx="4">
                  <c:v>Printer</c:v>
                </c:pt>
              </c:strCache>
            </c:strRef>
          </c:cat>
          <c:val>
            <c:numRef>
              <c:f>'Pivot table'!$O$4:$O$9</c:f>
              <c:numCache>
                <c:formatCode>General</c:formatCode>
                <c:ptCount val="5"/>
                <c:pt idx="0">
                  <c:v>1093</c:v>
                </c:pt>
                <c:pt idx="1">
                  <c:v>14215</c:v>
                </c:pt>
                <c:pt idx="2">
                  <c:v>5560</c:v>
                </c:pt>
                <c:pt idx="3">
                  <c:v>616</c:v>
                </c:pt>
                <c:pt idx="4">
                  <c:v>5350</c:v>
                </c:pt>
              </c:numCache>
            </c:numRef>
          </c:val>
          <c:extLst>
            <c:ext xmlns:c16="http://schemas.microsoft.com/office/drawing/2014/chart" uri="{C3380CC4-5D6E-409C-BE32-E72D297353CC}">
              <c16:uniqueId val="{00000015-80DA-451F-A060-833D16D32FD6}"/>
            </c:ext>
          </c:extLst>
        </c:ser>
        <c:dLbls>
          <c:dLblPos val="outEnd"/>
          <c:showLegendKey val="0"/>
          <c:showVal val="1"/>
          <c:showCatName val="0"/>
          <c:showSerName val="0"/>
          <c:showPercent val="0"/>
          <c:showBubbleSize val="0"/>
        </c:dLbls>
        <c:gapWidth val="219"/>
        <c:overlap val="-27"/>
        <c:axId val="1189316960"/>
        <c:axId val="1251235824"/>
      </c:barChart>
      <c:catAx>
        <c:axId val="118931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51235824"/>
        <c:crosses val="autoZero"/>
        <c:auto val="1"/>
        <c:lblAlgn val="ctr"/>
        <c:lblOffset val="100"/>
        <c:noMultiLvlLbl val="0"/>
      </c:catAx>
      <c:valAx>
        <c:axId val="1251235824"/>
        <c:scaling>
          <c:orientation val="minMax"/>
        </c:scaling>
        <c:delete val="1"/>
        <c:axPos val="l"/>
        <c:numFmt formatCode="General" sourceLinked="1"/>
        <c:majorTickMark val="none"/>
        <c:minorTickMark val="none"/>
        <c:tickLblPos val="nextTo"/>
        <c:crossAx val="1189316960"/>
        <c:crosses val="autoZero"/>
        <c:crossBetween val="between"/>
      </c:valAx>
      <c:spPr>
        <a:noFill/>
        <a:ln w="25400">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Sales by Salesperson</a:t>
            </a:r>
            <a:endParaRPr lang="en-US" b="1"/>
          </a:p>
        </c:rich>
      </c:tx>
      <c:layout>
        <c:manualLayout>
          <c:xMode val="edge"/>
          <c:yMode val="edge"/>
          <c:x val="0.25481274370729767"/>
          <c:y val="3.5346097201767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bar"/>
        <c:grouping val="clustered"/>
        <c:varyColors val="1"/>
        <c:ser>
          <c:idx val="0"/>
          <c:order val="0"/>
          <c:tx>
            <c:strRef>
              <c:f>'Pivot table'!$O$14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6BB-4947-AF0B-2F644DAE4B3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6BB-4947-AF0B-2F644DAE4B3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6BB-4947-AF0B-2F644DAE4B3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6BB-4947-AF0B-2F644DAE4B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table'!$N$15:$N$19</c:f>
              <c:strCache>
                <c:ptCount val="4"/>
                <c:pt idx="0">
                  <c:v>Ahmed</c:v>
                </c:pt>
                <c:pt idx="1">
                  <c:v>Mohamed</c:v>
                </c:pt>
                <c:pt idx="2">
                  <c:v>Hassan</c:v>
                </c:pt>
                <c:pt idx="3">
                  <c:v>Amina</c:v>
                </c:pt>
              </c:strCache>
            </c:strRef>
          </c:cat>
          <c:val>
            <c:numRef>
              <c:f>'Pivot table'!$O$15:$O$19</c:f>
              <c:numCache>
                <c:formatCode>General</c:formatCode>
                <c:ptCount val="4"/>
                <c:pt idx="0">
                  <c:v>10995</c:v>
                </c:pt>
                <c:pt idx="1">
                  <c:v>5536</c:v>
                </c:pt>
                <c:pt idx="2">
                  <c:v>5435</c:v>
                </c:pt>
                <c:pt idx="3">
                  <c:v>4868</c:v>
                </c:pt>
              </c:numCache>
            </c:numRef>
          </c:val>
          <c:extLst>
            <c:ext xmlns:c16="http://schemas.microsoft.com/office/drawing/2014/chart" uri="{C3380CC4-5D6E-409C-BE32-E72D297353CC}">
              <c16:uniqueId val="{00000000-1686-488B-B36E-D33F52204C23}"/>
            </c:ext>
          </c:extLst>
        </c:ser>
        <c:dLbls>
          <c:dLblPos val="outEnd"/>
          <c:showLegendKey val="0"/>
          <c:showVal val="1"/>
          <c:showCatName val="0"/>
          <c:showSerName val="0"/>
          <c:showPercent val="0"/>
          <c:showBubbleSize val="0"/>
        </c:dLbls>
        <c:gapWidth val="182"/>
        <c:axId val="1410311328"/>
        <c:axId val="1484826096"/>
      </c:barChart>
      <c:catAx>
        <c:axId val="141031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26096"/>
        <c:crosses val="autoZero"/>
        <c:auto val="1"/>
        <c:lblAlgn val="ctr"/>
        <c:lblOffset val="100"/>
        <c:noMultiLvlLbl val="0"/>
      </c:catAx>
      <c:valAx>
        <c:axId val="148482609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031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Sales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table'!$N$36:$N$46</c:f>
              <c:strCache>
                <c:ptCount val="10"/>
                <c:pt idx="0">
                  <c:v>October</c:v>
                </c:pt>
                <c:pt idx="1">
                  <c:v>July</c:v>
                </c:pt>
                <c:pt idx="2">
                  <c:v>March</c:v>
                </c:pt>
                <c:pt idx="3">
                  <c:v>September</c:v>
                </c:pt>
                <c:pt idx="4">
                  <c:v>May</c:v>
                </c:pt>
                <c:pt idx="5">
                  <c:v>June</c:v>
                </c:pt>
                <c:pt idx="6">
                  <c:v>January</c:v>
                </c:pt>
                <c:pt idx="7">
                  <c:v>August</c:v>
                </c:pt>
                <c:pt idx="8">
                  <c:v>April</c:v>
                </c:pt>
                <c:pt idx="9">
                  <c:v>February</c:v>
                </c:pt>
              </c:strCache>
            </c:strRef>
          </c:cat>
          <c:val>
            <c:numRef>
              <c:f>'Pivot table'!$O$36:$O$46</c:f>
              <c:numCache>
                <c:formatCode>General</c:formatCode>
                <c:ptCount val="10"/>
                <c:pt idx="0">
                  <c:v>4305</c:v>
                </c:pt>
                <c:pt idx="1">
                  <c:v>3500</c:v>
                </c:pt>
                <c:pt idx="2">
                  <c:v>2995</c:v>
                </c:pt>
                <c:pt idx="3">
                  <c:v>2890</c:v>
                </c:pt>
                <c:pt idx="4">
                  <c:v>2680</c:v>
                </c:pt>
                <c:pt idx="5">
                  <c:v>2644</c:v>
                </c:pt>
                <c:pt idx="6">
                  <c:v>2590</c:v>
                </c:pt>
                <c:pt idx="7">
                  <c:v>2414</c:v>
                </c:pt>
                <c:pt idx="8">
                  <c:v>1802</c:v>
                </c:pt>
                <c:pt idx="9">
                  <c:v>1014</c:v>
                </c:pt>
              </c:numCache>
            </c:numRef>
          </c:val>
          <c:smooth val="0"/>
          <c:extLst>
            <c:ext xmlns:c16="http://schemas.microsoft.com/office/drawing/2014/chart" uri="{C3380CC4-5D6E-409C-BE32-E72D297353CC}">
              <c16:uniqueId val="{00000000-23F7-4245-9A52-4D0001A8CA02}"/>
            </c:ext>
          </c:extLst>
        </c:ser>
        <c:dLbls>
          <c:dLblPos val="t"/>
          <c:showLegendKey val="0"/>
          <c:showVal val="1"/>
          <c:showCatName val="0"/>
          <c:showSerName val="0"/>
          <c:showPercent val="0"/>
          <c:showBubbleSize val="0"/>
        </c:dLbls>
        <c:marker val="1"/>
        <c:smooth val="0"/>
        <c:axId val="1418679072"/>
        <c:axId val="1484862096"/>
      </c:lineChart>
      <c:catAx>
        <c:axId val="14186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84862096"/>
        <c:crosses val="autoZero"/>
        <c:auto val="1"/>
        <c:lblAlgn val="ctr"/>
        <c:lblOffset val="100"/>
        <c:noMultiLvlLbl val="0"/>
      </c:catAx>
      <c:valAx>
        <c:axId val="1484862096"/>
        <c:scaling>
          <c:orientation val="minMax"/>
        </c:scaling>
        <c:delete val="1"/>
        <c:axPos val="l"/>
        <c:numFmt formatCode="General" sourceLinked="1"/>
        <c:majorTickMark val="none"/>
        <c:minorTickMark val="none"/>
        <c:tickLblPos val="nextTo"/>
        <c:crossAx val="14186790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43323547971137"/>
              <c:y val="-3.9502189885838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211446130209333E-2"/>
              <c:y val="7.6453102936601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048478696260529"/>
              <c:y val="7.6017997750281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table'!$O$24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C9-4420-9088-2CEEB43AA1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C9-4420-9088-2CEEB43AA1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2DD-487B-BB4C-7A3856A56F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82DD-487B-BB4C-7A3856A56F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82DD-487B-BB4C-7A3856A56F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8C9-4420-9088-2CEEB43AA1CD}"/>
              </c:ext>
            </c:extLst>
          </c:dPt>
          <c:dLbls>
            <c:dLbl>
              <c:idx val="0"/>
              <c:layout>
                <c:manualLayout>
                  <c:x val="-0.11143323547971137"/>
                  <c:y val="-3.95021898858387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C9-4420-9088-2CEEB43AA1CD}"/>
                </c:ext>
              </c:extLst>
            </c:dLbl>
            <c:dLbl>
              <c:idx val="1"/>
              <c:layout>
                <c:manualLayout>
                  <c:x val="2.7211446130209333E-2"/>
                  <c:y val="7.64531029366010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C9-4420-9088-2CEEB43AA1CD}"/>
                </c:ext>
              </c:extLst>
            </c:dLbl>
            <c:dLbl>
              <c:idx val="3"/>
              <c:layout>
                <c:manualLayout>
                  <c:x val="-0.11048478696260529"/>
                  <c:y val="7.6017997750281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2DD-487B-BB4C-7A3856A56F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table'!$N$25:$N$31</c:f>
              <c:strCache>
                <c:ptCount val="6"/>
                <c:pt idx="0">
                  <c:v>Somalia</c:v>
                </c:pt>
                <c:pt idx="1">
                  <c:v>Kenya</c:v>
                </c:pt>
                <c:pt idx="2">
                  <c:v>Ethiopia</c:v>
                </c:pt>
                <c:pt idx="3">
                  <c:v>Tanzania</c:v>
                </c:pt>
                <c:pt idx="4">
                  <c:v>Uganda</c:v>
                </c:pt>
                <c:pt idx="5">
                  <c:v>Djibouti</c:v>
                </c:pt>
              </c:strCache>
            </c:strRef>
          </c:cat>
          <c:val>
            <c:numRef>
              <c:f>'Pivot table'!$O$25:$O$31</c:f>
              <c:numCache>
                <c:formatCode>General</c:formatCode>
                <c:ptCount val="6"/>
                <c:pt idx="0">
                  <c:v>9115</c:v>
                </c:pt>
                <c:pt idx="1">
                  <c:v>5894</c:v>
                </c:pt>
                <c:pt idx="2">
                  <c:v>4685</c:v>
                </c:pt>
                <c:pt idx="3">
                  <c:v>3439</c:v>
                </c:pt>
                <c:pt idx="4">
                  <c:v>2309</c:v>
                </c:pt>
                <c:pt idx="5">
                  <c:v>1392</c:v>
                </c:pt>
              </c:numCache>
            </c:numRef>
          </c:val>
          <c:extLst>
            <c:ext xmlns:c16="http://schemas.microsoft.com/office/drawing/2014/chart" uri="{C3380CC4-5D6E-409C-BE32-E72D297353CC}">
              <c16:uniqueId val="{00000000-82DD-487B-BB4C-7A3856A56FC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1"/>
        <c:ser>
          <c:idx val="0"/>
          <c:order val="0"/>
          <c:tx>
            <c:strRef>
              <c:f>'Pivot table'!$Z$2</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C30B-4E53-91C6-EF227C37381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C30B-4E53-91C6-EF227C37381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C30B-4E53-91C6-EF227C373810}"/>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C30B-4E53-91C6-EF227C373810}"/>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C30B-4E53-91C6-EF227C373810}"/>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C30B-4E53-91C6-EF227C373810}"/>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2-1FCF-41D8-9308-91908CE26EC2}"/>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C30B-4E53-91C6-EF227C373810}"/>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C30B-4E53-91C6-EF227C373810}"/>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C30B-4E53-91C6-EF227C3738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table'!$Y$3:$Y$13</c:f>
              <c:strCache>
                <c:ptCount val="10"/>
                <c:pt idx="0">
                  <c:v>Mogadishu</c:v>
                </c:pt>
                <c:pt idx="1">
                  <c:v>Nairobi</c:v>
                </c:pt>
                <c:pt idx="2">
                  <c:v>Dar es Salaam</c:v>
                </c:pt>
                <c:pt idx="3">
                  <c:v>Addis Ababa</c:v>
                </c:pt>
                <c:pt idx="4">
                  <c:v>Kampala</c:v>
                </c:pt>
                <c:pt idx="5">
                  <c:v>Garowe</c:v>
                </c:pt>
                <c:pt idx="6">
                  <c:v>Mombasa</c:v>
                </c:pt>
                <c:pt idx="7">
                  <c:v>Djibouti City</c:v>
                </c:pt>
                <c:pt idx="8">
                  <c:v>Dire Dawa</c:v>
                </c:pt>
                <c:pt idx="9">
                  <c:v>Hargeisa</c:v>
                </c:pt>
              </c:strCache>
            </c:strRef>
          </c:cat>
          <c:val>
            <c:numRef>
              <c:f>'Pivot table'!$Z$3:$Z$13</c:f>
              <c:numCache>
                <c:formatCode>General</c:formatCode>
                <c:ptCount val="10"/>
                <c:pt idx="0">
                  <c:v>6220</c:v>
                </c:pt>
                <c:pt idx="1">
                  <c:v>3954</c:v>
                </c:pt>
                <c:pt idx="2">
                  <c:v>3439</c:v>
                </c:pt>
                <c:pt idx="3">
                  <c:v>3305</c:v>
                </c:pt>
                <c:pt idx="4">
                  <c:v>2309</c:v>
                </c:pt>
                <c:pt idx="5">
                  <c:v>1985</c:v>
                </c:pt>
                <c:pt idx="6">
                  <c:v>1940</c:v>
                </c:pt>
                <c:pt idx="7">
                  <c:v>1392</c:v>
                </c:pt>
                <c:pt idx="8">
                  <c:v>1380</c:v>
                </c:pt>
                <c:pt idx="9">
                  <c:v>910</c:v>
                </c:pt>
              </c:numCache>
            </c:numRef>
          </c:val>
          <c:extLst>
            <c:ext xmlns:c16="http://schemas.microsoft.com/office/drawing/2014/chart" uri="{C3380CC4-5D6E-409C-BE32-E72D297353CC}">
              <c16:uniqueId val="{00000000-1FCF-41D8-9308-91908CE26EC2}"/>
            </c:ext>
          </c:extLst>
        </c:ser>
        <c:dLbls>
          <c:showLegendKey val="0"/>
          <c:showVal val="1"/>
          <c:showCatName val="0"/>
          <c:showSerName val="0"/>
          <c:showPercent val="0"/>
          <c:showBubbleSize val="0"/>
        </c:dLbls>
        <c:gapWidth val="150"/>
        <c:shape val="box"/>
        <c:axId val="1418685568"/>
        <c:axId val="1484900976"/>
        <c:axId val="0"/>
      </c:bar3DChart>
      <c:catAx>
        <c:axId val="1418685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4900976"/>
        <c:crosses val="autoZero"/>
        <c:auto val="1"/>
        <c:lblAlgn val="ctr"/>
        <c:lblOffset val="100"/>
        <c:noMultiLvlLbl val="0"/>
      </c:catAx>
      <c:valAx>
        <c:axId val="1484900976"/>
        <c:scaling>
          <c:orientation val="minMax"/>
        </c:scaling>
        <c:delete val="1"/>
        <c:axPos val="b"/>
        <c:numFmt formatCode="General" sourceLinked="1"/>
        <c:majorTickMark val="out"/>
        <c:minorTickMark val="none"/>
        <c:tickLblPos val="nextTo"/>
        <c:crossAx val="141868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Quantity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'Pivot table'!$Z$18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471-4CF6-B49E-5F7B997AC39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471-4CF6-B49E-5F7B997AC39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471-4CF6-B49E-5F7B997AC39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471-4CF6-B49E-5F7B997AC39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471-4CF6-B49E-5F7B997AC39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table'!$Y$19:$Y$24</c:f>
              <c:strCache>
                <c:ptCount val="5"/>
                <c:pt idx="0">
                  <c:v>Keyboard</c:v>
                </c:pt>
                <c:pt idx="1">
                  <c:v>Laptop</c:v>
                </c:pt>
                <c:pt idx="2">
                  <c:v>Monitor</c:v>
                </c:pt>
                <c:pt idx="3">
                  <c:v>Mouse</c:v>
                </c:pt>
                <c:pt idx="4">
                  <c:v>Printer</c:v>
                </c:pt>
              </c:strCache>
            </c:strRef>
          </c:cat>
          <c:val>
            <c:numRef>
              <c:f>'Pivot table'!$Z$19:$Z$24</c:f>
              <c:numCache>
                <c:formatCode>General</c:formatCode>
                <c:ptCount val="5"/>
                <c:pt idx="0">
                  <c:v>36</c:v>
                </c:pt>
                <c:pt idx="1">
                  <c:v>20</c:v>
                </c:pt>
                <c:pt idx="2">
                  <c:v>24</c:v>
                </c:pt>
                <c:pt idx="3">
                  <c:v>34</c:v>
                </c:pt>
                <c:pt idx="4">
                  <c:v>21</c:v>
                </c:pt>
              </c:numCache>
            </c:numRef>
          </c:val>
          <c:extLst>
            <c:ext xmlns:c16="http://schemas.microsoft.com/office/drawing/2014/chart" uri="{C3380CC4-5D6E-409C-BE32-E72D297353CC}">
              <c16:uniqueId val="{00000000-D09B-41CB-87AC-C755D816A819}"/>
            </c:ext>
          </c:extLst>
        </c:ser>
        <c:dLbls>
          <c:dLblPos val="outEnd"/>
          <c:showLegendKey val="0"/>
          <c:showVal val="1"/>
          <c:showCatName val="0"/>
          <c:showSerName val="0"/>
          <c:showPercent val="0"/>
          <c:showBubbleSize val="0"/>
        </c:dLbls>
        <c:gapWidth val="219"/>
        <c:overlap val="-27"/>
        <c:axId val="1496051328"/>
        <c:axId val="1484898096"/>
      </c:barChart>
      <c:catAx>
        <c:axId val="149605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84898096"/>
        <c:crosses val="autoZero"/>
        <c:auto val="1"/>
        <c:lblAlgn val="ctr"/>
        <c:lblOffset val="100"/>
        <c:noMultiLvlLbl val="0"/>
      </c:catAx>
      <c:valAx>
        <c:axId val="14848980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605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1"/>
        <c:ser>
          <c:idx val="0"/>
          <c:order val="0"/>
          <c:tx>
            <c:strRef>
              <c:f>'Pivot table'!$Z$34</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D450-49FC-8A05-55DB70B0E17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D450-49FC-8A05-55DB70B0E17E}"/>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D450-49FC-8A05-55DB70B0E17E}"/>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D450-49FC-8A05-55DB70B0E17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table'!$Y$35:$Y$39</c:f>
              <c:strCache>
                <c:ptCount val="4"/>
                <c:pt idx="0">
                  <c:v>Ahmed</c:v>
                </c:pt>
                <c:pt idx="1">
                  <c:v>Amina</c:v>
                </c:pt>
                <c:pt idx="2">
                  <c:v>Hassan</c:v>
                </c:pt>
                <c:pt idx="3">
                  <c:v>Mohamed</c:v>
                </c:pt>
              </c:strCache>
            </c:strRef>
          </c:cat>
          <c:val>
            <c:numRef>
              <c:f>'Pivot table'!$Z$35:$Z$39</c:f>
              <c:numCache>
                <c:formatCode>General</c:formatCode>
                <c:ptCount val="4"/>
                <c:pt idx="0">
                  <c:v>24</c:v>
                </c:pt>
                <c:pt idx="1">
                  <c:v>49</c:v>
                </c:pt>
                <c:pt idx="2">
                  <c:v>26</c:v>
                </c:pt>
                <c:pt idx="3">
                  <c:v>36</c:v>
                </c:pt>
              </c:numCache>
            </c:numRef>
          </c:val>
          <c:extLst>
            <c:ext xmlns:c16="http://schemas.microsoft.com/office/drawing/2014/chart" uri="{C3380CC4-5D6E-409C-BE32-E72D297353CC}">
              <c16:uniqueId val="{00000000-AD01-4663-AA69-F580572B84A5}"/>
            </c:ext>
          </c:extLst>
        </c:ser>
        <c:dLbls>
          <c:showLegendKey val="0"/>
          <c:showVal val="1"/>
          <c:showCatName val="0"/>
          <c:showSerName val="0"/>
          <c:showPercent val="0"/>
          <c:showBubbleSize val="0"/>
        </c:dLbls>
        <c:gapWidth val="150"/>
        <c:shape val="box"/>
        <c:axId val="1496041120"/>
        <c:axId val="1484875536"/>
        <c:axId val="0"/>
      </c:bar3DChart>
      <c:catAx>
        <c:axId val="149604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75536"/>
        <c:crosses val="autoZero"/>
        <c:auto val="1"/>
        <c:lblAlgn val="ctr"/>
        <c:lblOffset val="100"/>
        <c:noMultiLvlLbl val="0"/>
      </c:catAx>
      <c:valAx>
        <c:axId val="1484875536"/>
        <c:scaling>
          <c:orientation val="minMax"/>
        </c:scaling>
        <c:delete val="1"/>
        <c:axPos val="l"/>
        <c:numFmt formatCode="General" sourceLinked="1"/>
        <c:majorTickMark val="none"/>
        <c:minorTickMark val="none"/>
        <c:tickLblPos val="nextTo"/>
        <c:crossAx val="1496041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Toatl sales</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0A-45F7-884A-AE68EAADD4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table'!$AH$4</c:f>
              <c:strCache>
                <c:ptCount val="1"/>
                <c:pt idx="0">
                  <c:v>Total</c:v>
                </c:pt>
              </c:strCache>
            </c:strRef>
          </c:cat>
          <c:val>
            <c:numRef>
              <c:f>'Pivot table'!$AH$4</c:f>
              <c:numCache>
                <c:formatCode>General</c:formatCode>
                <c:ptCount val="1"/>
                <c:pt idx="0">
                  <c:v>26834</c:v>
                </c:pt>
              </c:numCache>
            </c:numRef>
          </c:val>
          <c:extLst>
            <c:ext xmlns:c16="http://schemas.microsoft.com/office/drawing/2014/chart" uri="{C3380CC4-5D6E-409C-BE32-E72D297353CC}">
              <c16:uniqueId val="{00000000-FDF2-44AD-9596-C61AA03BFB7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s>
    <c:plotArea>
      <c:layout/>
      <c:doughnutChart>
        <c:varyColors val="1"/>
        <c:ser>
          <c:idx val="0"/>
          <c:order val="0"/>
          <c:tx>
            <c:strRef>
              <c:f>'Pivot table'!$AH$3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E6D-4CE6-9D58-9EAC496C82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table'!$AH$4</c:f>
              <c:strCache>
                <c:ptCount val="1"/>
                <c:pt idx="0">
                  <c:v>Total</c:v>
                </c:pt>
              </c:strCache>
            </c:strRef>
          </c:cat>
          <c:val>
            <c:numRef>
              <c:f>'Pivot table'!$AH$4</c:f>
              <c:numCache>
                <c:formatCode>General</c:formatCode>
                <c:ptCount val="1"/>
                <c:pt idx="0">
                  <c:v>26834</c:v>
                </c:pt>
              </c:numCache>
            </c:numRef>
          </c:val>
          <c:extLst>
            <c:ext xmlns:c16="http://schemas.microsoft.com/office/drawing/2014/chart" uri="{C3380CC4-5D6E-409C-BE32-E72D297353CC}">
              <c16:uniqueId val="{00000002-FE6D-4CE6-9D58-9EAC496C823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by products</a:t>
            </a:r>
          </a:p>
        </c:rich>
      </c:tx>
      <c:overlay val="0"/>
      <c:spPr>
        <a:solidFill>
          <a:schemeClr val="accent6">
            <a:lumMod val="40000"/>
            <a:lumOff val="60000"/>
          </a:schemeClr>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2"/>
          </a:solidFill>
          <a:ln>
            <a:noFill/>
          </a:ln>
          <a:effectLst/>
        </c:spPr>
      </c:pivotFmt>
      <c:pivotFmt>
        <c:idx val="21"/>
        <c:spPr>
          <a:solidFill>
            <a:schemeClr val="accent3"/>
          </a:solidFill>
          <a:ln>
            <a:noFill/>
          </a:ln>
          <a:effectLst/>
        </c:spPr>
      </c:pivotFmt>
      <c:pivotFmt>
        <c:idx val="22"/>
        <c:spPr>
          <a:solidFill>
            <a:schemeClr val="accent4"/>
          </a:solidFill>
          <a:ln>
            <a:noFill/>
          </a:ln>
          <a:effectLst/>
        </c:spPr>
      </c:pivotFmt>
      <c:pivotFmt>
        <c:idx val="23"/>
        <c:spPr>
          <a:solidFill>
            <a:schemeClr val="accent5"/>
          </a:solidFill>
          <a:ln>
            <a:noFill/>
          </a:ln>
          <a:effectLst/>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2"/>
          </a:solidFill>
          <a:ln>
            <a:noFill/>
          </a:ln>
          <a:effectLst/>
        </c:spPr>
      </c:pivotFmt>
      <c:pivotFmt>
        <c:idx val="27"/>
        <c:spPr>
          <a:solidFill>
            <a:schemeClr val="accent3"/>
          </a:solidFill>
          <a:ln>
            <a:noFill/>
          </a:ln>
          <a:effectLst/>
        </c:spPr>
      </c:pivotFmt>
      <c:pivotFmt>
        <c:idx val="28"/>
        <c:spPr>
          <a:solidFill>
            <a:schemeClr val="accent4"/>
          </a:solidFill>
          <a:ln>
            <a:noFill/>
          </a:ln>
          <a:effectLst/>
        </c:spPr>
      </c:pivotFmt>
      <c:pivotFmt>
        <c:idx val="29"/>
        <c:spPr>
          <a:solidFill>
            <a:schemeClr val="accent5"/>
          </a:solidFill>
          <a:ln>
            <a:noFill/>
          </a:ln>
          <a:effectLst/>
        </c:spPr>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2"/>
          </a:solidFill>
          <a:ln>
            <a:noFill/>
          </a:ln>
          <a:effectLst/>
        </c:spPr>
      </c:pivotFmt>
      <c:pivotFmt>
        <c:idx val="33"/>
        <c:spPr>
          <a:solidFill>
            <a:schemeClr val="accent3"/>
          </a:solidFill>
          <a:ln>
            <a:noFill/>
          </a:ln>
          <a:effectLst/>
        </c:spPr>
      </c:pivotFmt>
      <c:pivotFmt>
        <c:idx val="34"/>
        <c:spPr>
          <a:solidFill>
            <a:schemeClr val="accent4"/>
          </a:solidFill>
          <a:ln>
            <a:noFill/>
          </a:ln>
          <a:effectLst/>
        </c:spPr>
      </c:pivotFmt>
      <c:pivotFmt>
        <c:idx val="35"/>
        <c:spPr>
          <a:solidFill>
            <a:schemeClr val="accent5"/>
          </a:solidFill>
          <a:ln>
            <a:noFill/>
          </a:ln>
          <a:effectLst/>
        </c:spPr>
      </c:pivotFmt>
    </c:pivotFmts>
    <c:plotArea>
      <c:layout/>
      <c:barChart>
        <c:barDir val="col"/>
        <c:grouping val="clustered"/>
        <c:varyColors val="1"/>
        <c:ser>
          <c:idx val="0"/>
          <c:order val="0"/>
          <c:tx>
            <c:strRef>
              <c:f>'Pivot table'!$O$3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F2D-4D1B-9024-5B0A02C8395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F2D-4D1B-9024-5B0A02C8395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F2D-4D1B-9024-5B0A02C8395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F2D-4D1B-9024-5B0A02C8395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F2D-4D1B-9024-5B0A02C839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table'!$N$4:$N$9</c:f>
              <c:strCache>
                <c:ptCount val="5"/>
                <c:pt idx="0">
                  <c:v>Keyboard</c:v>
                </c:pt>
                <c:pt idx="1">
                  <c:v>Laptop</c:v>
                </c:pt>
                <c:pt idx="2">
                  <c:v>Monitor</c:v>
                </c:pt>
                <c:pt idx="3">
                  <c:v>Mouse</c:v>
                </c:pt>
                <c:pt idx="4">
                  <c:v>Printer</c:v>
                </c:pt>
              </c:strCache>
            </c:strRef>
          </c:cat>
          <c:val>
            <c:numRef>
              <c:f>'Pivot table'!$O$4:$O$9</c:f>
              <c:numCache>
                <c:formatCode>General</c:formatCode>
                <c:ptCount val="5"/>
                <c:pt idx="0">
                  <c:v>1093</c:v>
                </c:pt>
                <c:pt idx="1">
                  <c:v>14215</c:v>
                </c:pt>
                <c:pt idx="2">
                  <c:v>5560</c:v>
                </c:pt>
                <c:pt idx="3">
                  <c:v>616</c:v>
                </c:pt>
                <c:pt idx="4">
                  <c:v>5350</c:v>
                </c:pt>
              </c:numCache>
            </c:numRef>
          </c:val>
          <c:extLst>
            <c:ext xmlns:c16="http://schemas.microsoft.com/office/drawing/2014/chart" uri="{C3380CC4-5D6E-409C-BE32-E72D297353CC}">
              <c16:uniqueId val="{0000000A-FF2D-4D1B-9024-5B0A02C83950}"/>
            </c:ext>
          </c:extLst>
        </c:ser>
        <c:dLbls>
          <c:dLblPos val="outEnd"/>
          <c:showLegendKey val="0"/>
          <c:showVal val="1"/>
          <c:showCatName val="0"/>
          <c:showSerName val="0"/>
          <c:showPercent val="0"/>
          <c:showBubbleSize val="0"/>
        </c:dLbls>
        <c:gapWidth val="219"/>
        <c:overlap val="-27"/>
        <c:axId val="1189316960"/>
        <c:axId val="1251235824"/>
      </c:barChart>
      <c:catAx>
        <c:axId val="118931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51235824"/>
        <c:crosses val="autoZero"/>
        <c:auto val="1"/>
        <c:lblAlgn val="ctr"/>
        <c:lblOffset val="100"/>
        <c:noMultiLvlLbl val="0"/>
      </c:catAx>
      <c:valAx>
        <c:axId val="1251235824"/>
        <c:scaling>
          <c:orientation val="minMax"/>
        </c:scaling>
        <c:delete val="1"/>
        <c:axPos val="l"/>
        <c:numFmt formatCode="General" sourceLinked="1"/>
        <c:majorTickMark val="none"/>
        <c:minorTickMark val="none"/>
        <c:tickLblPos val="nextTo"/>
        <c:crossAx val="1189316960"/>
        <c:crosses val="autoZero"/>
        <c:crossBetween val="between"/>
      </c:valAx>
      <c:spPr>
        <a:noFill/>
        <a:ln w="25400">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Sales by Salesperson</a:t>
            </a:r>
            <a:endParaRPr lang="en-US" b="1"/>
          </a:p>
        </c:rich>
      </c:tx>
      <c:layout>
        <c:manualLayout>
          <c:xMode val="edge"/>
          <c:yMode val="edge"/>
          <c:x val="0.25481274370729767"/>
          <c:y val="3.5346097201767304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bar"/>
        <c:grouping val="clustered"/>
        <c:varyColors val="1"/>
        <c:ser>
          <c:idx val="0"/>
          <c:order val="0"/>
          <c:tx>
            <c:strRef>
              <c:f>'Pivot table'!$O$14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D9E-4D6A-978B-B742A93F51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D9E-4D6A-978B-B742A93F51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D9E-4D6A-978B-B742A93F51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D9E-4D6A-978B-B742A93F51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table'!$N$15:$N$19</c:f>
              <c:strCache>
                <c:ptCount val="4"/>
                <c:pt idx="0">
                  <c:v>Ahmed</c:v>
                </c:pt>
                <c:pt idx="1">
                  <c:v>Mohamed</c:v>
                </c:pt>
                <c:pt idx="2">
                  <c:v>Hassan</c:v>
                </c:pt>
                <c:pt idx="3">
                  <c:v>Amina</c:v>
                </c:pt>
              </c:strCache>
            </c:strRef>
          </c:cat>
          <c:val>
            <c:numRef>
              <c:f>'Pivot table'!$O$15:$O$19</c:f>
              <c:numCache>
                <c:formatCode>General</c:formatCode>
                <c:ptCount val="4"/>
                <c:pt idx="0">
                  <c:v>10995</c:v>
                </c:pt>
                <c:pt idx="1">
                  <c:v>5536</c:v>
                </c:pt>
                <c:pt idx="2">
                  <c:v>5435</c:v>
                </c:pt>
                <c:pt idx="3">
                  <c:v>4868</c:v>
                </c:pt>
              </c:numCache>
            </c:numRef>
          </c:val>
          <c:extLst>
            <c:ext xmlns:c16="http://schemas.microsoft.com/office/drawing/2014/chart" uri="{C3380CC4-5D6E-409C-BE32-E72D297353CC}">
              <c16:uniqueId val="{00000008-6D9E-4D6A-978B-B742A93F517E}"/>
            </c:ext>
          </c:extLst>
        </c:ser>
        <c:dLbls>
          <c:dLblPos val="outEnd"/>
          <c:showLegendKey val="0"/>
          <c:showVal val="1"/>
          <c:showCatName val="0"/>
          <c:showSerName val="0"/>
          <c:showPercent val="0"/>
          <c:showBubbleSize val="0"/>
        </c:dLbls>
        <c:gapWidth val="182"/>
        <c:axId val="1410311328"/>
        <c:axId val="1484826096"/>
      </c:barChart>
      <c:catAx>
        <c:axId val="141031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4826096"/>
        <c:crosses val="autoZero"/>
        <c:auto val="1"/>
        <c:lblAlgn val="ctr"/>
        <c:lblOffset val="100"/>
        <c:noMultiLvlLbl val="0"/>
      </c:catAx>
      <c:valAx>
        <c:axId val="1484826096"/>
        <c:scaling>
          <c:orientation val="minMax"/>
        </c:scaling>
        <c:delete val="1"/>
        <c:axPos val="b"/>
        <c:numFmt formatCode="General" sourceLinked="1"/>
        <c:majorTickMark val="none"/>
        <c:minorTickMark val="none"/>
        <c:tickLblPos val="nextTo"/>
        <c:crossAx val="1410311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country</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43323547971137"/>
              <c:y val="-3.9502189885838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211446130209333E-2"/>
              <c:y val="7.6453102936601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048478696260529"/>
              <c:y val="7.6017997750281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2.7211446130209333E-2"/>
              <c:y val="7.6453102936601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43323547971137"/>
              <c:y val="-3.9502189885838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048478696260529"/>
              <c:y val="7.6017997750281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2.7211446130209333E-2"/>
              <c:y val="7.6453102936601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20550989053197619"/>
              <c:y val="-1.884827092538197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1048478696260529"/>
              <c:y val="7.6017997750281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s>
    <c:plotArea>
      <c:layout/>
      <c:pieChart>
        <c:varyColors val="1"/>
        <c:ser>
          <c:idx val="0"/>
          <c:order val="0"/>
          <c:tx>
            <c:strRef>
              <c:f>'Pivot table'!$O$24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91-4D31-ACDD-F9AAD31069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91-4D31-ACDD-F9AAD31069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91-4D31-ACDD-F9AAD31069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91-4D31-ACDD-F9AAD31069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91-4D31-ACDD-F9AAD31069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491-4D31-ACDD-F9AAD31069FC}"/>
              </c:ext>
            </c:extLst>
          </c:dPt>
          <c:dLbls>
            <c:dLbl>
              <c:idx val="0"/>
              <c:layout>
                <c:manualLayout>
                  <c:x val="-0.20550989053197619"/>
                  <c:y val="-1.884827092538197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91-4D31-ACDD-F9AAD31069FC}"/>
                </c:ext>
              </c:extLst>
            </c:dLbl>
            <c:dLbl>
              <c:idx val="1"/>
              <c:layout>
                <c:manualLayout>
                  <c:x val="2.7211446130209333E-2"/>
                  <c:y val="7.64531029366010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91-4D31-ACDD-F9AAD31069FC}"/>
                </c:ext>
              </c:extLst>
            </c:dLbl>
            <c:dLbl>
              <c:idx val="3"/>
              <c:layout>
                <c:manualLayout>
                  <c:x val="-0.11048478696260529"/>
                  <c:y val="7.6017997750281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491-4D31-ACDD-F9AAD31069F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table'!$N$25:$N$31</c:f>
              <c:strCache>
                <c:ptCount val="6"/>
                <c:pt idx="0">
                  <c:v>Somalia</c:v>
                </c:pt>
                <c:pt idx="1">
                  <c:v>Kenya</c:v>
                </c:pt>
                <c:pt idx="2">
                  <c:v>Ethiopia</c:v>
                </c:pt>
                <c:pt idx="3">
                  <c:v>Tanzania</c:v>
                </c:pt>
                <c:pt idx="4">
                  <c:v>Uganda</c:v>
                </c:pt>
                <c:pt idx="5">
                  <c:v>Djibouti</c:v>
                </c:pt>
              </c:strCache>
            </c:strRef>
          </c:cat>
          <c:val>
            <c:numRef>
              <c:f>'Pivot table'!$O$25:$O$31</c:f>
              <c:numCache>
                <c:formatCode>General</c:formatCode>
                <c:ptCount val="6"/>
                <c:pt idx="0">
                  <c:v>9115</c:v>
                </c:pt>
                <c:pt idx="1">
                  <c:v>5894</c:v>
                </c:pt>
                <c:pt idx="2">
                  <c:v>4685</c:v>
                </c:pt>
                <c:pt idx="3">
                  <c:v>3439</c:v>
                </c:pt>
                <c:pt idx="4">
                  <c:v>2309</c:v>
                </c:pt>
                <c:pt idx="5">
                  <c:v>1392</c:v>
                </c:pt>
              </c:numCache>
            </c:numRef>
          </c:val>
          <c:extLst>
            <c:ext xmlns:c16="http://schemas.microsoft.com/office/drawing/2014/chart" uri="{C3380CC4-5D6E-409C-BE32-E72D297353CC}">
              <c16:uniqueId val="{0000000C-8491-4D31-ACDD-F9AAD310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city</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0.33333333333333331"/>
              <c:y val="3.08829716896073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0.2868217054263566"/>
              <c:y val="-0.1086049167518183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0.37984496124031009"/>
              <c:y val="7.529482478812285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0.48062015503875971"/>
              <c:y val="-0.1533665925347117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0.22093023255813954"/>
              <c:y val="5.3781330768768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0.19379844961240303"/>
              <c:y val="1.630762757708721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dLbl>
          <c:idx val="0"/>
          <c:layout>
            <c:manualLayout>
              <c:x val="0.17829457364341086"/>
              <c:y val="-5.899501111979323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0.3643410852713177"/>
              <c:y val="-6.90527138306185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0.28682170542635654"/>
              <c:y val="-0.150939472260623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2.7131782945736507E-2"/>
              <c:y val="-0.1068726332872513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1"/>
        <c:ser>
          <c:idx val="0"/>
          <c:order val="0"/>
          <c:tx>
            <c:strRef>
              <c:f>'Pivot table'!$Z$2</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D76B-4D37-B0A0-2482E9ED04AD}"/>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D76B-4D37-B0A0-2482E9ED04AD}"/>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D76B-4D37-B0A0-2482E9ED04AD}"/>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D76B-4D37-B0A0-2482E9ED04AD}"/>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D76B-4D37-B0A0-2482E9ED04AD}"/>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D76B-4D37-B0A0-2482E9ED04AD}"/>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D76B-4D37-B0A0-2482E9ED04AD}"/>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D76B-4D37-B0A0-2482E9ED04AD}"/>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D76B-4D37-B0A0-2482E9ED04AD}"/>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D76B-4D37-B0A0-2482E9ED04AD}"/>
              </c:ext>
            </c:extLst>
          </c:dPt>
          <c:dLbls>
            <c:dLbl>
              <c:idx val="0"/>
              <c:layout>
                <c:manualLayout>
                  <c:x val="0.3643410852713177"/>
                  <c:y val="-6.9052713830618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6B-4D37-B0A0-2482E9ED04AD}"/>
                </c:ext>
              </c:extLst>
            </c:dLbl>
            <c:dLbl>
              <c:idx val="1"/>
              <c:layout>
                <c:manualLayout>
                  <c:x val="-2.7131782945736507E-2"/>
                  <c:y val="-0.106872633287251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6B-4D37-B0A0-2482E9ED04AD}"/>
                </c:ext>
              </c:extLst>
            </c:dLbl>
            <c:dLbl>
              <c:idx val="2"/>
              <c:layout>
                <c:manualLayout>
                  <c:x val="0.2868217054263566"/>
                  <c:y val="-0.108604916751818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6B-4D37-B0A0-2482E9ED04AD}"/>
                </c:ext>
              </c:extLst>
            </c:dLbl>
            <c:dLbl>
              <c:idx val="3"/>
              <c:layout>
                <c:manualLayout>
                  <c:x val="0.33333333333333331"/>
                  <c:y val="3.08829716896073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6B-4D37-B0A0-2482E9ED04AD}"/>
                </c:ext>
              </c:extLst>
            </c:dLbl>
            <c:dLbl>
              <c:idx val="4"/>
              <c:layout>
                <c:manualLayout>
                  <c:x val="0.17829457364341086"/>
                  <c:y val="-5.89950111197932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6B-4D37-B0A0-2482E9ED04AD}"/>
                </c:ext>
              </c:extLst>
            </c:dLbl>
            <c:dLbl>
              <c:idx val="5"/>
              <c:layout>
                <c:manualLayout>
                  <c:x val="0.22093023255813954"/>
                  <c:y val="5.3781330768768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6B-4D37-B0A0-2482E9ED04AD}"/>
                </c:ext>
              </c:extLst>
            </c:dLbl>
            <c:dLbl>
              <c:idx val="6"/>
              <c:layout>
                <c:manualLayout>
                  <c:x val="0.28682170542635654"/>
                  <c:y val="-0.1509394722606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6B-4D37-B0A0-2482E9ED04AD}"/>
                </c:ext>
              </c:extLst>
            </c:dLbl>
            <c:dLbl>
              <c:idx val="7"/>
              <c:layout>
                <c:manualLayout>
                  <c:x val="0.48062015503875971"/>
                  <c:y val="-0.153366592534711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6B-4D37-B0A0-2482E9ED04AD}"/>
                </c:ext>
              </c:extLst>
            </c:dLbl>
            <c:dLbl>
              <c:idx val="8"/>
              <c:layout>
                <c:manualLayout>
                  <c:x val="0.37984496124031009"/>
                  <c:y val="7.5294824788122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6B-4D37-B0A0-2482E9ED04AD}"/>
                </c:ext>
              </c:extLst>
            </c:dLbl>
            <c:dLbl>
              <c:idx val="9"/>
              <c:layout>
                <c:manualLayout>
                  <c:x val="0.19379844961240303"/>
                  <c:y val="1.6307627577087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76B-4D37-B0A0-2482E9ED04A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table'!$Y$3:$Y$13</c:f>
              <c:strCache>
                <c:ptCount val="10"/>
                <c:pt idx="0">
                  <c:v>Mogadishu</c:v>
                </c:pt>
                <c:pt idx="1">
                  <c:v>Nairobi</c:v>
                </c:pt>
                <c:pt idx="2">
                  <c:v>Dar es Salaam</c:v>
                </c:pt>
                <c:pt idx="3">
                  <c:v>Addis Ababa</c:v>
                </c:pt>
                <c:pt idx="4">
                  <c:v>Kampala</c:v>
                </c:pt>
                <c:pt idx="5">
                  <c:v>Garowe</c:v>
                </c:pt>
                <c:pt idx="6">
                  <c:v>Mombasa</c:v>
                </c:pt>
                <c:pt idx="7">
                  <c:v>Djibouti City</c:v>
                </c:pt>
                <c:pt idx="8">
                  <c:v>Dire Dawa</c:v>
                </c:pt>
                <c:pt idx="9">
                  <c:v>Hargeisa</c:v>
                </c:pt>
              </c:strCache>
            </c:strRef>
          </c:cat>
          <c:val>
            <c:numRef>
              <c:f>'Pivot table'!$Z$3:$Z$13</c:f>
              <c:numCache>
                <c:formatCode>General</c:formatCode>
                <c:ptCount val="10"/>
                <c:pt idx="0">
                  <c:v>6220</c:v>
                </c:pt>
                <c:pt idx="1">
                  <c:v>3954</c:v>
                </c:pt>
                <c:pt idx="2">
                  <c:v>3439</c:v>
                </c:pt>
                <c:pt idx="3">
                  <c:v>3305</c:v>
                </c:pt>
                <c:pt idx="4">
                  <c:v>2309</c:v>
                </c:pt>
                <c:pt idx="5">
                  <c:v>1985</c:v>
                </c:pt>
                <c:pt idx="6">
                  <c:v>1940</c:v>
                </c:pt>
                <c:pt idx="7">
                  <c:v>1392</c:v>
                </c:pt>
                <c:pt idx="8">
                  <c:v>1380</c:v>
                </c:pt>
                <c:pt idx="9">
                  <c:v>910</c:v>
                </c:pt>
              </c:numCache>
            </c:numRef>
          </c:val>
          <c:extLst>
            <c:ext xmlns:c16="http://schemas.microsoft.com/office/drawing/2014/chart" uri="{C3380CC4-5D6E-409C-BE32-E72D297353CC}">
              <c16:uniqueId val="{00000014-D76B-4D37-B0A0-2482E9ED04AD}"/>
            </c:ext>
          </c:extLst>
        </c:ser>
        <c:dLbls>
          <c:showLegendKey val="0"/>
          <c:showVal val="1"/>
          <c:showCatName val="0"/>
          <c:showSerName val="0"/>
          <c:showPercent val="0"/>
          <c:showBubbleSize val="0"/>
        </c:dLbls>
        <c:gapWidth val="150"/>
        <c:shape val="box"/>
        <c:axId val="1418685568"/>
        <c:axId val="1484900976"/>
        <c:axId val="0"/>
      </c:bar3DChart>
      <c:catAx>
        <c:axId val="1418685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4900976"/>
        <c:crosses val="autoZero"/>
        <c:auto val="1"/>
        <c:lblAlgn val="ctr"/>
        <c:lblOffset val="100"/>
        <c:noMultiLvlLbl val="0"/>
      </c:catAx>
      <c:valAx>
        <c:axId val="1484900976"/>
        <c:scaling>
          <c:orientation val="minMax"/>
        </c:scaling>
        <c:delete val="1"/>
        <c:axPos val="b"/>
        <c:numFmt formatCode="General" sourceLinked="1"/>
        <c:majorTickMark val="out"/>
        <c:minorTickMark val="none"/>
        <c:tickLblPos val="nextTo"/>
        <c:crossAx val="141868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Quantity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barChart>
        <c:barDir val="col"/>
        <c:grouping val="clustered"/>
        <c:varyColors val="1"/>
        <c:ser>
          <c:idx val="0"/>
          <c:order val="0"/>
          <c:tx>
            <c:strRef>
              <c:f>'Pivot table'!$Z$18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369-46D4-B234-AE80F8A9E0A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369-46D4-B234-AE80F8A9E0A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369-46D4-B234-AE80F8A9E0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369-46D4-B234-AE80F8A9E0A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369-46D4-B234-AE80F8A9E0A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table'!$Y$19:$Y$24</c:f>
              <c:strCache>
                <c:ptCount val="5"/>
                <c:pt idx="0">
                  <c:v>Keyboard</c:v>
                </c:pt>
                <c:pt idx="1">
                  <c:v>Laptop</c:v>
                </c:pt>
                <c:pt idx="2">
                  <c:v>Monitor</c:v>
                </c:pt>
                <c:pt idx="3">
                  <c:v>Mouse</c:v>
                </c:pt>
                <c:pt idx="4">
                  <c:v>Printer</c:v>
                </c:pt>
              </c:strCache>
            </c:strRef>
          </c:cat>
          <c:val>
            <c:numRef>
              <c:f>'Pivot table'!$Z$19:$Z$24</c:f>
              <c:numCache>
                <c:formatCode>General</c:formatCode>
                <c:ptCount val="5"/>
                <c:pt idx="0">
                  <c:v>36</c:v>
                </c:pt>
                <c:pt idx="1">
                  <c:v>20</c:v>
                </c:pt>
                <c:pt idx="2">
                  <c:v>24</c:v>
                </c:pt>
                <c:pt idx="3">
                  <c:v>34</c:v>
                </c:pt>
                <c:pt idx="4">
                  <c:v>21</c:v>
                </c:pt>
              </c:numCache>
            </c:numRef>
          </c:val>
          <c:extLst>
            <c:ext xmlns:c16="http://schemas.microsoft.com/office/drawing/2014/chart" uri="{C3380CC4-5D6E-409C-BE32-E72D297353CC}">
              <c16:uniqueId val="{0000000A-5369-46D4-B234-AE80F8A9E0A4}"/>
            </c:ext>
          </c:extLst>
        </c:ser>
        <c:dLbls>
          <c:dLblPos val="outEnd"/>
          <c:showLegendKey val="0"/>
          <c:showVal val="1"/>
          <c:showCatName val="0"/>
          <c:showSerName val="0"/>
          <c:showPercent val="0"/>
          <c:showBubbleSize val="0"/>
        </c:dLbls>
        <c:gapWidth val="219"/>
        <c:overlap val="-27"/>
        <c:axId val="1496051328"/>
        <c:axId val="1484898096"/>
      </c:barChart>
      <c:catAx>
        <c:axId val="149605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84898096"/>
        <c:crosses val="autoZero"/>
        <c:auto val="1"/>
        <c:lblAlgn val="ctr"/>
        <c:lblOffset val="100"/>
        <c:noMultiLvlLbl val="0"/>
      </c:catAx>
      <c:valAx>
        <c:axId val="14848980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605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1"/>
        <c:ser>
          <c:idx val="0"/>
          <c:order val="0"/>
          <c:tx>
            <c:strRef>
              <c:f>'Pivot table'!$Z$34</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C31B-4418-ADEA-F60FD4E62F84}"/>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C31B-4418-ADEA-F60FD4E62F84}"/>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C31B-4418-ADEA-F60FD4E62F84}"/>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C31B-4418-ADEA-F60FD4E62F8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table'!$Y$35:$Y$39</c:f>
              <c:strCache>
                <c:ptCount val="4"/>
                <c:pt idx="0">
                  <c:v>Ahmed</c:v>
                </c:pt>
                <c:pt idx="1">
                  <c:v>Amina</c:v>
                </c:pt>
                <c:pt idx="2">
                  <c:v>Hassan</c:v>
                </c:pt>
                <c:pt idx="3">
                  <c:v>Mohamed</c:v>
                </c:pt>
              </c:strCache>
            </c:strRef>
          </c:cat>
          <c:val>
            <c:numRef>
              <c:f>'Pivot table'!$Z$35:$Z$39</c:f>
              <c:numCache>
                <c:formatCode>General</c:formatCode>
                <c:ptCount val="4"/>
                <c:pt idx="0">
                  <c:v>24</c:v>
                </c:pt>
                <c:pt idx="1">
                  <c:v>49</c:v>
                </c:pt>
                <c:pt idx="2">
                  <c:v>26</c:v>
                </c:pt>
                <c:pt idx="3">
                  <c:v>36</c:v>
                </c:pt>
              </c:numCache>
            </c:numRef>
          </c:val>
          <c:extLst>
            <c:ext xmlns:c16="http://schemas.microsoft.com/office/drawing/2014/chart" uri="{C3380CC4-5D6E-409C-BE32-E72D297353CC}">
              <c16:uniqueId val="{00000008-C31B-4418-ADEA-F60FD4E62F84}"/>
            </c:ext>
          </c:extLst>
        </c:ser>
        <c:dLbls>
          <c:showLegendKey val="0"/>
          <c:showVal val="1"/>
          <c:showCatName val="0"/>
          <c:showSerName val="0"/>
          <c:showPercent val="0"/>
          <c:showBubbleSize val="0"/>
        </c:dLbls>
        <c:gapWidth val="150"/>
        <c:shape val="box"/>
        <c:axId val="1496041120"/>
        <c:axId val="1484875536"/>
        <c:axId val="0"/>
      </c:bar3DChart>
      <c:catAx>
        <c:axId val="149604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75536"/>
        <c:crosses val="autoZero"/>
        <c:auto val="1"/>
        <c:lblAlgn val="ctr"/>
        <c:lblOffset val="100"/>
        <c:noMultiLvlLbl val="0"/>
      </c:catAx>
      <c:valAx>
        <c:axId val="1484875536"/>
        <c:scaling>
          <c:orientation val="minMax"/>
        </c:scaling>
        <c:delete val="1"/>
        <c:axPos val="l"/>
        <c:numFmt formatCode="General" sourceLinked="1"/>
        <c:majorTickMark val="none"/>
        <c:minorTickMark val="none"/>
        <c:tickLblPos val="nextTo"/>
        <c:crossAx val="1496041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[NEXORA_Sales_Dashboard.xlsx]Pivot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Sales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table'!$N$36:$N$46</c:f>
              <c:strCache>
                <c:ptCount val="10"/>
                <c:pt idx="0">
                  <c:v>October</c:v>
                </c:pt>
                <c:pt idx="1">
                  <c:v>July</c:v>
                </c:pt>
                <c:pt idx="2">
                  <c:v>March</c:v>
                </c:pt>
                <c:pt idx="3">
                  <c:v>September</c:v>
                </c:pt>
                <c:pt idx="4">
                  <c:v>May</c:v>
                </c:pt>
                <c:pt idx="5">
                  <c:v>June</c:v>
                </c:pt>
                <c:pt idx="6">
                  <c:v>January</c:v>
                </c:pt>
                <c:pt idx="7">
                  <c:v>August</c:v>
                </c:pt>
                <c:pt idx="8">
                  <c:v>April</c:v>
                </c:pt>
                <c:pt idx="9">
                  <c:v>February</c:v>
                </c:pt>
              </c:strCache>
            </c:strRef>
          </c:cat>
          <c:val>
            <c:numRef>
              <c:f>'Pivot table'!$O$36:$O$46</c:f>
              <c:numCache>
                <c:formatCode>General</c:formatCode>
                <c:ptCount val="10"/>
                <c:pt idx="0">
                  <c:v>4305</c:v>
                </c:pt>
                <c:pt idx="1">
                  <c:v>3500</c:v>
                </c:pt>
                <c:pt idx="2">
                  <c:v>2995</c:v>
                </c:pt>
                <c:pt idx="3">
                  <c:v>2890</c:v>
                </c:pt>
                <c:pt idx="4">
                  <c:v>2680</c:v>
                </c:pt>
                <c:pt idx="5">
                  <c:v>2644</c:v>
                </c:pt>
                <c:pt idx="6">
                  <c:v>2590</c:v>
                </c:pt>
                <c:pt idx="7">
                  <c:v>2414</c:v>
                </c:pt>
                <c:pt idx="8">
                  <c:v>1802</c:v>
                </c:pt>
                <c:pt idx="9">
                  <c:v>1014</c:v>
                </c:pt>
              </c:numCache>
            </c:numRef>
          </c:val>
          <c:smooth val="0"/>
          <c:extLst>
            <c:ext xmlns:c16="http://schemas.microsoft.com/office/drawing/2014/chart" uri="{C3380CC4-5D6E-409C-BE32-E72D297353CC}">
              <c16:uniqueId val="{00000000-12DA-4414-9DB6-FC46E6DA7C3D}"/>
            </c:ext>
          </c:extLst>
        </c:ser>
        <c:dLbls>
          <c:dLblPos val="t"/>
          <c:showLegendKey val="0"/>
          <c:showVal val="1"/>
          <c:showCatName val="0"/>
          <c:showSerName val="0"/>
          <c:showPercent val="0"/>
          <c:showBubbleSize val="0"/>
        </c:dLbls>
        <c:marker val="1"/>
        <c:smooth val="0"/>
        <c:axId val="1418679072"/>
        <c:axId val="1484862096"/>
      </c:lineChart>
      <c:catAx>
        <c:axId val="14186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84862096"/>
        <c:crosses val="autoZero"/>
        <c:auto val="1"/>
        <c:lblAlgn val="ctr"/>
        <c:lblOffset val="100"/>
        <c:noMultiLvlLbl val="0"/>
      </c:catAx>
      <c:valAx>
        <c:axId val="1484862096"/>
        <c:scaling>
          <c:orientation val="minMax"/>
        </c:scaling>
        <c:delete val="1"/>
        <c:axPos val="l"/>
        <c:numFmt formatCode="General" sourceLinked="1"/>
        <c:majorTickMark val="none"/>
        <c:minorTickMark val="none"/>
        <c:tickLblPos val="nextTo"/>
        <c:crossAx val="14186790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16</xdr:col>
      <xdr:colOff>6350</xdr:colOff>
      <xdr:row>1</xdr:row>
      <xdr:rowOff>60325</xdr:rowOff>
    </xdr:from>
    <xdr:to>
      <xdr:col>21</xdr:col>
      <xdr:colOff>596900</xdr:colOff>
      <xdr:row>12</xdr:row>
      <xdr:rowOff>6350</xdr:rowOff>
    </xdr:to>
    <xdr:graphicFrame macro="">
      <xdr:nvGraphicFramePr>
        <xdr:cNvPr id="2" name="Chart 1">
          <a:extLst>
            <a:ext uri="{FF2B5EF4-FFF2-40B4-BE49-F238E27FC236}">
              <a16:creationId xmlns:a16="http://schemas.microsoft.com/office/drawing/2014/main" id="{E73AE859-BA4E-0D73-1348-835BCFCA1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9525</xdr:colOff>
      <xdr:row>12</xdr:row>
      <xdr:rowOff>180975</xdr:rowOff>
    </xdr:from>
    <xdr:to>
      <xdr:col>22</xdr:col>
      <xdr:colOff>0</xdr:colOff>
      <xdr:row>22</xdr:row>
      <xdr:rowOff>133350</xdr:rowOff>
    </xdr:to>
    <xdr:graphicFrame macro="">
      <xdr:nvGraphicFramePr>
        <xdr:cNvPr id="3" name="Chart 2">
          <a:extLst>
            <a:ext uri="{FF2B5EF4-FFF2-40B4-BE49-F238E27FC236}">
              <a16:creationId xmlns:a16="http://schemas.microsoft.com/office/drawing/2014/main" id="{12E01920-B95A-77F2-0836-268DDC341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xdr:colOff>
      <xdr:row>36</xdr:row>
      <xdr:rowOff>161925</xdr:rowOff>
    </xdr:from>
    <xdr:to>
      <xdr:col>21</xdr:col>
      <xdr:colOff>584200</xdr:colOff>
      <xdr:row>51</xdr:row>
      <xdr:rowOff>142875</xdr:rowOff>
    </xdr:to>
    <xdr:graphicFrame macro="">
      <xdr:nvGraphicFramePr>
        <xdr:cNvPr id="5" name="Chart 4">
          <a:extLst>
            <a:ext uri="{FF2B5EF4-FFF2-40B4-BE49-F238E27FC236}">
              <a16:creationId xmlns:a16="http://schemas.microsoft.com/office/drawing/2014/main" id="{B234C2A1-D8DF-B483-34D5-4261AA2E2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590550</xdr:colOff>
      <xdr:row>23</xdr:row>
      <xdr:rowOff>146051</xdr:rowOff>
    </xdr:from>
    <xdr:to>
      <xdr:col>21</xdr:col>
      <xdr:colOff>577850</xdr:colOff>
      <xdr:row>35</xdr:row>
      <xdr:rowOff>25401</xdr:rowOff>
    </xdr:to>
    <xdr:graphicFrame macro="">
      <xdr:nvGraphicFramePr>
        <xdr:cNvPr id="6" name="Chart 5">
          <a:extLst>
            <a:ext uri="{FF2B5EF4-FFF2-40B4-BE49-F238E27FC236}">
              <a16:creationId xmlns:a16="http://schemas.microsoft.com/office/drawing/2014/main" id="{853FF02C-8877-7B37-8337-87910461A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565150</xdr:colOff>
      <xdr:row>1</xdr:row>
      <xdr:rowOff>28575</xdr:rowOff>
    </xdr:from>
    <xdr:to>
      <xdr:col>32</xdr:col>
      <xdr:colOff>184150</xdr:colOff>
      <xdr:row>16</xdr:row>
      <xdr:rowOff>9525</xdr:rowOff>
    </xdr:to>
    <xdr:graphicFrame macro="">
      <xdr:nvGraphicFramePr>
        <xdr:cNvPr id="7" name="Chart 6">
          <a:extLst>
            <a:ext uri="{FF2B5EF4-FFF2-40B4-BE49-F238E27FC236}">
              <a16:creationId xmlns:a16="http://schemas.microsoft.com/office/drawing/2014/main" id="{B15FA257-AB4A-DE09-F17F-7FC27069C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600075</xdr:colOff>
      <xdr:row>17</xdr:row>
      <xdr:rowOff>161925</xdr:rowOff>
    </xdr:from>
    <xdr:to>
      <xdr:col>32</xdr:col>
      <xdr:colOff>241300</xdr:colOff>
      <xdr:row>29</xdr:row>
      <xdr:rowOff>120650</xdr:rowOff>
    </xdr:to>
    <xdr:graphicFrame macro="">
      <xdr:nvGraphicFramePr>
        <xdr:cNvPr id="9" name="Chart 8">
          <a:extLst>
            <a:ext uri="{FF2B5EF4-FFF2-40B4-BE49-F238E27FC236}">
              <a16:creationId xmlns:a16="http://schemas.microsoft.com/office/drawing/2014/main" id="{28452B6F-C5A9-BB1C-E909-A0220A1B6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584199</xdr:colOff>
      <xdr:row>31</xdr:row>
      <xdr:rowOff>152399</xdr:rowOff>
    </xdr:from>
    <xdr:to>
      <xdr:col>32</xdr:col>
      <xdr:colOff>349250</xdr:colOff>
      <xdr:row>45</xdr:row>
      <xdr:rowOff>120650</xdr:rowOff>
    </xdr:to>
    <xdr:graphicFrame macro="">
      <xdr:nvGraphicFramePr>
        <xdr:cNvPr id="10" name="Chart 9">
          <a:extLst>
            <a:ext uri="{FF2B5EF4-FFF2-40B4-BE49-F238E27FC236}">
              <a16:creationId xmlns:a16="http://schemas.microsoft.com/office/drawing/2014/main" id="{F0E04B52-555C-4642-E6F7-B0DACB1B6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381000</xdr:colOff>
      <xdr:row>6</xdr:row>
      <xdr:rowOff>114300</xdr:rowOff>
    </xdr:from>
    <xdr:to>
      <xdr:col>34</xdr:col>
      <xdr:colOff>742950</xdr:colOff>
      <xdr:row>15</xdr:row>
      <xdr:rowOff>31750</xdr:rowOff>
    </xdr:to>
    <xdr:graphicFrame macro="">
      <xdr:nvGraphicFramePr>
        <xdr:cNvPr id="4" name="Chart 3">
          <a:extLst>
            <a:ext uri="{FF2B5EF4-FFF2-40B4-BE49-F238E27FC236}">
              <a16:creationId xmlns:a16="http://schemas.microsoft.com/office/drawing/2014/main" id="{4CB8488C-5F8A-90BD-F5F1-21178A6AF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0.30687</cdr:x>
      <cdr:y>0.51691</cdr:y>
    </cdr:from>
    <cdr:to>
      <cdr:x>0.67121</cdr:x>
      <cdr:y>0.65349</cdr:y>
    </cdr:to>
    <cdr:sp macro="" textlink="">
      <cdr:nvSpPr>
        <cdr:cNvPr id="2" name="TextBox 1">
          <a:extLst xmlns:a="http://schemas.openxmlformats.org/drawingml/2006/main">
            <a:ext uri="{FF2B5EF4-FFF2-40B4-BE49-F238E27FC236}">
              <a16:creationId xmlns:a16="http://schemas.microsoft.com/office/drawing/2014/main" id="{51B4D80D-FF2F-0B14-38B2-8A290A1629EE}"/>
            </a:ext>
          </a:extLst>
        </cdr:cNvPr>
        <cdr:cNvSpPr txBox="1"/>
      </cdr:nvSpPr>
      <cdr:spPr>
        <a:xfrm xmlns:a="http://schemas.openxmlformats.org/drawingml/2006/main">
          <a:off x="465716" y="814035"/>
          <a:ext cx="552942" cy="2150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t>26834</a:t>
          </a: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565150</xdr:colOff>
      <xdr:row>0</xdr:row>
      <xdr:rowOff>0</xdr:rowOff>
    </xdr:from>
    <xdr:to>
      <xdr:col>3</xdr:col>
      <xdr:colOff>444500</xdr:colOff>
      <xdr:row>2</xdr:row>
      <xdr:rowOff>19050</xdr:rowOff>
    </xdr:to>
    <xdr:sp macro="" textlink="">
      <xdr:nvSpPr>
        <xdr:cNvPr id="26" name="Oval 25">
          <a:extLst>
            <a:ext uri="{FF2B5EF4-FFF2-40B4-BE49-F238E27FC236}">
              <a16:creationId xmlns:a16="http://schemas.microsoft.com/office/drawing/2014/main" id="{69C262D9-7FED-7E37-6CAB-2EA8F4538052}"/>
            </a:ext>
          </a:extLst>
        </xdr:cNvPr>
        <xdr:cNvSpPr/>
      </xdr:nvSpPr>
      <xdr:spPr>
        <a:xfrm>
          <a:off x="1784350" y="0"/>
          <a:ext cx="488950" cy="387350"/>
        </a:xfrm>
        <a:prstGeom prst="ellipse">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0</xdr:row>
      <xdr:rowOff>146050</xdr:rowOff>
    </xdr:from>
    <xdr:to>
      <xdr:col>1</xdr:col>
      <xdr:colOff>419100</xdr:colOff>
      <xdr:row>8</xdr:row>
      <xdr:rowOff>127000</xdr:rowOff>
    </xdr:to>
    <xdr:sp macro="" textlink="">
      <xdr:nvSpPr>
        <xdr:cNvPr id="2" name="Rectangle 1">
          <a:extLst>
            <a:ext uri="{FF2B5EF4-FFF2-40B4-BE49-F238E27FC236}">
              <a16:creationId xmlns:a16="http://schemas.microsoft.com/office/drawing/2014/main" id="{7E3807E8-3540-B2EE-0953-386237E2E567}"/>
            </a:ext>
          </a:extLst>
        </xdr:cNvPr>
        <xdr:cNvSpPr/>
      </xdr:nvSpPr>
      <xdr:spPr>
        <a:xfrm>
          <a:off x="12700" y="146050"/>
          <a:ext cx="1016000" cy="14541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8</xdr:row>
      <xdr:rowOff>44450</xdr:rowOff>
    </xdr:from>
    <xdr:to>
      <xdr:col>1</xdr:col>
      <xdr:colOff>412750</xdr:colOff>
      <xdr:row>16</xdr:row>
      <xdr:rowOff>25400</xdr:rowOff>
    </xdr:to>
    <xdr:sp macro="" textlink="">
      <xdr:nvSpPr>
        <xdr:cNvPr id="4" name="Rectangle 3">
          <a:extLst>
            <a:ext uri="{FF2B5EF4-FFF2-40B4-BE49-F238E27FC236}">
              <a16:creationId xmlns:a16="http://schemas.microsoft.com/office/drawing/2014/main" id="{A7F9886C-4513-4779-95AF-DE77CA49D5E8}"/>
            </a:ext>
          </a:extLst>
        </xdr:cNvPr>
        <xdr:cNvSpPr/>
      </xdr:nvSpPr>
      <xdr:spPr>
        <a:xfrm>
          <a:off x="6350" y="1517650"/>
          <a:ext cx="1016000" cy="14541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152400</xdr:rowOff>
    </xdr:from>
    <xdr:to>
      <xdr:col>1</xdr:col>
      <xdr:colOff>406400</xdr:colOff>
      <xdr:row>25</xdr:row>
      <xdr:rowOff>114300</xdr:rowOff>
    </xdr:to>
    <xdr:sp macro="" textlink="">
      <xdr:nvSpPr>
        <xdr:cNvPr id="5" name="Rectangle 4">
          <a:extLst>
            <a:ext uri="{FF2B5EF4-FFF2-40B4-BE49-F238E27FC236}">
              <a16:creationId xmlns:a16="http://schemas.microsoft.com/office/drawing/2014/main" id="{7D869528-EE96-4DA8-8CA9-935F4A69D5B9}"/>
            </a:ext>
          </a:extLst>
        </xdr:cNvPr>
        <xdr:cNvSpPr/>
      </xdr:nvSpPr>
      <xdr:spPr>
        <a:xfrm>
          <a:off x="0" y="3282950"/>
          <a:ext cx="1016000" cy="14351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374650</xdr:colOff>
      <xdr:row>0</xdr:row>
      <xdr:rowOff>0</xdr:rowOff>
    </xdr:from>
    <xdr:to>
      <xdr:col>4</xdr:col>
      <xdr:colOff>69850</xdr:colOff>
      <xdr:row>2</xdr:row>
      <xdr:rowOff>76200</xdr:rowOff>
    </xdr:to>
    <xdr:pic>
      <xdr:nvPicPr>
        <xdr:cNvPr id="11" name="Picture 10">
          <a:extLst>
            <a:ext uri="{FF2B5EF4-FFF2-40B4-BE49-F238E27FC236}">
              <a16:creationId xmlns:a16="http://schemas.microsoft.com/office/drawing/2014/main" id="{120A59E1-EE97-A9D3-419F-683AE14C7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3850" y="0"/>
          <a:ext cx="914400" cy="444500"/>
        </a:xfrm>
        <a:prstGeom prst="rect">
          <a:avLst/>
        </a:prstGeom>
      </xdr:spPr>
    </xdr:pic>
    <xdr:clientData/>
  </xdr:twoCellAnchor>
  <xdr:twoCellAnchor>
    <xdr:from>
      <xdr:col>3</xdr:col>
      <xdr:colOff>603250</xdr:colOff>
      <xdr:row>0</xdr:row>
      <xdr:rowOff>88900</xdr:rowOff>
    </xdr:from>
    <xdr:to>
      <xdr:col>10</xdr:col>
      <xdr:colOff>222250</xdr:colOff>
      <xdr:row>1</xdr:row>
      <xdr:rowOff>177800</xdr:rowOff>
    </xdr:to>
    <xdr:sp macro="" textlink="">
      <xdr:nvSpPr>
        <xdr:cNvPr id="12" name="TextBox 11">
          <a:extLst>
            <a:ext uri="{FF2B5EF4-FFF2-40B4-BE49-F238E27FC236}">
              <a16:creationId xmlns:a16="http://schemas.microsoft.com/office/drawing/2014/main" id="{6CC20783-4CD4-B8AA-9076-B3F01B536DCF}"/>
            </a:ext>
          </a:extLst>
        </xdr:cNvPr>
        <xdr:cNvSpPr txBox="1"/>
      </xdr:nvSpPr>
      <xdr:spPr>
        <a:xfrm>
          <a:off x="2432050" y="88900"/>
          <a:ext cx="388620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   EXORA Sales Performance Dashboard</a:t>
          </a:r>
        </a:p>
      </xdr:txBody>
    </xdr:sp>
    <xdr:clientData/>
  </xdr:twoCellAnchor>
  <xdr:twoCellAnchor>
    <xdr:from>
      <xdr:col>3</xdr:col>
      <xdr:colOff>44450</xdr:colOff>
      <xdr:row>2</xdr:row>
      <xdr:rowOff>44450</xdr:rowOff>
    </xdr:from>
    <xdr:to>
      <xdr:col>5</xdr:col>
      <xdr:colOff>342900</xdr:colOff>
      <xdr:row>11</xdr:row>
      <xdr:rowOff>0</xdr:rowOff>
    </xdr:to>
    <xdr:graphicFrame macro="">
      <xdr:nvGraphicFramePr>
        <xdr:cNvPr id="14" name="Chart 13">
          <a:extLst>
            <a:ext uri="{FF2B5EF4-FFF2-40B4-BE49-F238E27FC236}">
              <a16:creationId xmlns:a16="http://schemas.microsoft.com/office/drawing/2014/main" id="{10D5515E-9F2F-4F14-9F28-536436FA8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44450</xdr:colOff>
      <xdr:row>11</xdr:row>
      <xdr:rowOff>38100</xdr:rowOff>
    </xdr:from>
    <xdr:to>
      <xdr:col>7</xdr:col>
      <xdr:colOff>368300</xdr:colOff>
      <xdr:row>22</xdr:row>
      <xdr:rowOff>25399</xdr:rowOff>
    </xdr:to>
    <xdr:graphicFrame macro="">
      <xdr:nvGraphicFramePr>
        <xdr:cNvPr id="15" name="Chart 14">
          <a:extLst>
            <a:ext uri="{FF2B5EF4-FFF2-40B4-BE49-F238E27FC236}">
              <a16:creationId xmlns:a16="http://schemas.microsoft.com/office/drawing/2014/main" id="{7F4B77A7-A878-4BFF-BC7D-FFCBD8B5A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361951</xdr:colOff>
      <xdr:row>2</xdr:row>
      <xdr:rowOff>38101</xdr:rowOff>
    </xdr:from>
    <xdr:to>
      <xdr:col>10</xdr:col>
      <xdr:colOff>247651</xdr:colOff>
      <xdr:row>10</xdr:row>
      <xdr:rowOff>158751</xdr:rowOff>
    </xdr:to>
    <xdr:graphicFrame macro="">
      <xdr:nvGraphicFramePr>
        <xdr:cNvPr id="16" name="Chart 15">
          <a:extLst>
            <a:ext uri="{FF2B5EF4-FFF2-40B4-BE49-F238E27FC236}">
              <a16:creationId xmlns:a16="http://schemas.microsoft.com/office/drawing/2014/main" id="{4BFE955E-B9E9-4957-8EB4-EE76FBC7D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400050</xdr:colOff>
      <xdr:row>11</xdr:row>
      <xdr:rowOff>31750</xdr:rowOff>
    </xdr:from>
    <xdr:to>
      <xdr:col>13</xdr:col>
      <xdr:colOff>387350</xdr:colOff>
      <xdr:row>22</xdr:row>
      <xdr:rowOff>31750</xdr:rowOff>
    </xdr:to>
    <xdr:graphicFrame macro="">
      <xdr:nvGraphicFramePr>
        <xdr:cNvPr id="17" name="Chart 16">
          <a:extLst>
            <a:ext uri="{FF2B5EF4-FFF2-40B4-BE49-F238E27FC236}">
              <a16:creationId xmlns:a16="http://schemas.microsoft.com/office/drawing/2014/main" id="{73C39973-406A-4B74-B86E-75123D058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285750</xdr:colOff>
      <xdr:row>0</xdr:row>
      <xdr:rowOff>95250</xdr:rowOff>
    </xdr:from>
    <xdr:to>
      <xdr:col>15</xdr:col>
      <xdr:colOff>514350</xdr:colOff>
      <xdr:row>10</xdr:row>
      <xdr:rowOff>171450</xdr:rowOff>
    </xdr:to>
    <xdr:graphicFrame macro="">
      <xdr:nvGraphicFramePr>
        <xdr:cNvPr id="18" name="Chart 17">
          <a:extLst>
            <a:ext uri="{FF2B5EF4-FFF2-40B4-BE49-F238E27FC236}">
              <a16:creationId xmlns:a16="http://schemas.microsoft.com/office/drawing/2014/main" id="{88E2584A-3E19-4608-B7E0-EC34F8785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419101</xdr:colOff>
      <xdr:row>11</xdr:row>
      <xdr:rowOff>25401</xdr:rowOff>
    </xdr:from>
    <xdr:to>
      <xdr:col>17</xdr:col>
      <xdr:colOff>476251</xdr:colOff>
      <xdr:row>22</xdr:row>
      <xdr:rowOff>31751</xdr:rowOff>
    </xdr:to>
    <xdr:graphicFrame macro="">
      <xdr:nvGraphicFramePr>
        <xdr:cNvPr id="19" name="Chart 18">
          <a:extLst>
            <a:ext uri="{FF2B5EF4-FFF2-40B4-BE49-F238E27FC236}">
              <a16:creationId xmlns:a16="http://schemas.microsoft.com/office/drawing/2014/main" id="{9A7E85C0-5072-4DCC-A2BA-F3756853D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539751</xdr:colOff>
      <xdr:row>0</xdr:row>
      <xdr:rowOff>88900</xdr:rowOff>
    </xdr:from>
    <xdr:to>
      <xdr:col>20</xdr:col>
      <xdr:colOff>88900</xdr:colOff>
      <xdr:row>10</xdr:row>
      <xdr:rowOff>171450</xdr:rowOff>
    </xdr:to>
    <xdr:graphicFrame macro="">
      <xdr:nvGraphicFramePr>
        <xdr:cNvPr id="20" name="Chart 19">
          <a:extLst>
            <a:ext uri="{FF2B5EF4-FFF2-40B4-BE49-F238E27FC236}">
              <a16:creationId xmlns:a16="http://schemas.microsoft.com/office/drawing/2014/main" id="{4DAC7245-9075-424D-9DBE-482E1FC26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495300</xdr:colOff>
      <xdr:row>11</xdr:row>
      <xdr:rowOff>31750</xdr:rowOff>
    </xdr:from>
    <xdr:to>
      <xdr:col>23</xdr:col>
      <xdr:colOff>6350</xdr:colOff>
      <xdr:row>22</xdr:row>
      <xdr:rowOff>31750</xdr:rowOff>
    </xdr:to>
    <xdr:graphicFrame macro="">
      <xdr:nvGraphicFramePr>
        <xdr:cNvPr id="21" name="Chart 20">
          <a:extLst>
            <a:ext uri="{FF2B5EF4-FFF2-40B4-BE49-F238E27FC236}">
              <a16:creationId xmlns:a16="http://schemas.microsoft.com/office/drawing/2014/main" id="{628D86FA-BEE1-4EDA-A922-BAF9598D0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146050</xdr:rowOff>
    </xdr:from>
    <xdr:to>
      <xdr:col>2</xdr:col>
      <xdr:colOff>558800</xdr:colOff>
      <xdr:row>11</xdr:row>
      <xdr:rowOff>12700</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5BA5434A-C413-4CE2-AA28-9FABB7ADBF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46050"/>
              <a:ext cx="1778000" cy="189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38100</xdr:rowOff>
    </xdr:from>
    <xdr:to>
      <xdr:col>2</xdr:col>
      <xdr:colOff>584200</xdr:colOff>
      <xdr:row>19</xdr:row>
      <xdr:rowOff>63500</xdr:rowOff>
    </xdr:to>
    <mc:AlternateContent xmlns:mc="http://schemas.openxmlformats.org/markup-compatibility/2006" xmlns:a14="http://schemas.microsoft.com/office/drawing/2010/main">
      <mc:Choice Requires="a14">
        <xdr:graphicFrame macro="">
          <xdr:nvGraphicFramePr>
            <xdr:cNvPr id="23" name="Salesperson">
              <a:extLst>
                <a:ext uri="{FF2B5EF4-FFF2-40B4-BE49-F238E27FC236}">
                  <a16:creationId xmlns:a16="http://schemas.microsoft.com/office/drawing/2014/main" id="{D0B14044-CC48-42CF-86E4-EA862CA6068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2063750"/>
              <a:ext cx="18034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19</xdr:row>
      <xdr:rowOff>95250</xdr:rowOff>
    </xdr:from>
    <xdr:to>
      <xdr:col>2</xdr:col>
      <xdr:colOff>584200</xdr:colOff>
      <xdr:row>36</xdr:row>
      <xdr:rowOff>165100</xdr:rowOff>
    </xdr:to>
    <mc:AlternateContent xmlns:mc="http://schemas.openxmlformats.org/markup-compatibility/2006" xmlns:a14="http://schemas.microsoft.com/office/drawing/2010/main">
      <mc:Choice Requires="a14">
        <xdr:graphicFrame macro="">
          <xdr:nvGraphicFramePr>
            <xdr:cNvPr id="24" name="Country">
              <a:extLst>
                <a:ext uri="{FF2B5EF4-FFF2-40B4-BE49-F238E27FC236}">
                  <a16:creationId xmlns:a16="http://schemas.microsoft.com/office/drawing/2014/main" id="{A3475CB8-BF30-4CFB-AE4B-367EBB7735F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50" y="3594100"/>
              <a:ext cx="1797050" cy="320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95250</xdr:colOff>
      <xdr:row>7</xdr:row>
      <xdr:rowOff>31750</xdr:rowOff>
    </xdr:from>
    <xdr:to>
      <xdr:col>22</xdr:col>
      <xdr:colOff>596900</xdr:colOff>
      <xdr:row>10</xdr:row>
      <xdr:rowOff>165100</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2981091B-87B0-477E-A5C0-961593D485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87250" y="1320800"/>
              <a:ext cx="172085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xdr:colOff>
      <xdr:row>22</xdr:row>
      <xdr:rowOff>50800</xdr:rowOff>
    </xdr:from>
    <xdr:to>
      <xdr:col>6</xdr:col>
      <xdr:colOff>25400</xdr:colOff>
      <xdr:row>36</xdr:row>
      <xdr:rowOff>152400</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72C7796F-7609-4DAE-9119-6C649FF6B5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54200" y="4102100"/>
              <a:ext cx="1828800" cy="267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69850</xdr:colOff>
      <xdr:row>22</xdr:row>
      <xdr:rowOff>44450</xdr:rowOff>
    </xdr:from>
    <xdr:to>
      <xdr:col>9</xdr:col>
      <xdr:colOff>158750</xdr:colOff>
      <xdr:row>36</xdr:row>
      <xdr:rowOff>146050</xdr:rowOff>
    </xdr:to>
    <mc:AlternateContent xmlns:mc="http://schemas.openxmlformats.org/markup-compatibility/2006" xmlns:a14="http://schemas.microsoft.com/office/drawing/2010/main">
      <mc:Choice Requires="a14">
        <xdr:graphicFrame macro="">
          <xdr:nvGraphicFramePr>
            <xdr:cNvPr id="29" name="Unit_Price">
              <a:extLst>
                <a:ext uri="{FF2B5EF4-FFF2-40B4-BE49-F238E27FC236}">
                  <a16:creationId xmlns:a16="http://schemas.microsoft.com/office/drawing/2014/main" id="{CA4CF12F-A0A0-461D-99DD-67E2ECCE6B95}"/>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mlns="">
        <xdr:sp macro="" textlink="">
          <xdr:nvSpPr>
            <xdr:cNvPr id="0" name=""/>
            <xdr:cNvSpPr>
              <a:spLocks noTextEdit="1"/>
            </xdr:cNvSpPr>
          </xdr:nvSpPr>
          <xdr:spPr>
            <a:xfrm>
              <a:off x="3727450" y="4095750"/>
              <a:ext cx="1828800" cy="267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190500</xdr:colOff>
      <xdr:row>22</xdr:row>
      <xdr:rowOff>82550</xdr:rowOff>
    </xdr:from>
    <xdr:to>
      <xdr:col>17</xdr:col>
      <xdr:colOff>57150</xdr:colOff>
      <xdr:row>36</xdr:row>
      <xdr:rowOff>139700</xdr:rowOff>
    </xdr:to>
    <xdr:sp macro="" textlink="">
      <xdr:nvSpPr>
        <xdr:cNvPr id="30" name="Rectangle: Rounded Corners 29">
          <a:extLst>
            <a:ext uri="{FF2B5EF4-FFF2-40B4-BE49-F238E27FC236}">
              <a16:creationId xmlns:a16="http://schemas.microsoft.com/office/drawing/2014/main" id="{7270DA3B-F706-1DDD-B1FB-B205742D5D44}"/>
            </a:ext>
          </a:extLst>
        </xdr:cNvPr>
        <xdr:cNvSpPr/>
      </xdr:nvSpPr>
      <xdr:spPr>
        <a:xfrm>
          <a:off x="5676900" y="4133850"/>
          <a:ext cx="4743450" cy="26352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260350</xdr:colOff>
      <xdr:row>22</xdr:row>
      <xdr:rowOff>95250</xdr:rowOff>
    </xdr:from>
    <xdr:to>
      <xdr:col>15</xdr:col>
      <xdr:colOff>406400</xdr:colOff>
      <xdr:row>24</xdr:row>
      <xdr:rowOff>63500</xdr:rowOff>
    </xdr:to>
    <xdr:sp macro="" textlink="">
      <xdr:nvSpPr>
        <xdr:cNvPr id="31" name="TextBox 30">
          <a:extLst>
            <a:ext uri="{FF2B5EF4-FFF2-40B4-BE49-F238E27FC236}">
              <a16:creationId xmlns:a16="http://schemas.microsoft.com/office/drawing/2014/main" id="{2C1ED5B0-8CB8-6A4F-6B9E-1B62F45E331A}"/>
            </a:ext>
          </a:extLst>
        </xdr:cNvPr>
        <xdr:cNvSpPr txBox="1"/>
      </xdr:nvSpPr>
      <xdr:spPr>
        <a:xfrm>
          <a:off x="6356350" y="4146550"/>
          <a:ext cx="319405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NEXORA SALES SUMMARY</a:t>
          </a:r>
        </a:p>
      </xdr:txBody>
    </xdr:sp>
    <xdr:clientData/>
  </xdr:twoCellAnchor>
  <xdr:twoCellAnchor>
    <xdr:from>
      <xdr:col>9</xdr:col>
      <xdr:colOff>450850</xdr:colOff>
      <xdr:row>27</xdr:row>
      <xdr:rowOff>152400</xdr:rowOff>
    </xdr:from>
    <xdr:to>
      <xdr:col>11</xdr:col>
      <xdr:colOff>254000</xdr:colOff>
      <xdr:row>29</xdr:row>
      <xdr:rowOff>25400</xdr:rowOff>
    </xdr:to>
    <xdr:sp macro="" textlink="">
      <xdr:nvSpPr>
        <xdr:cNvPr id="32" name="TextBox 31">
          <a:extLst>
            <a:ext uri="{FF2B5EF4-FFF2-40B4-BE49-F238E27FC236}">
              <a16:creationId xmlns:a16="http://schemas.microsoft.com/office/drawing/2014/main" id="{7E16ADF8-EF0C-1104-6524-E8D9835E5DB8}"/>
            </a:ext>
          </a:extLst>
        </xdr:cNvPr>
        <xdr:cNvSpPr txBox="1"/>
      </xdr:nvSpPr>
      <xdr:spPr>
        <a:xfrm>
          <a:off x="5937250" y="5124450"/>
          <a:ext cx="102235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Best Product:</a:t>
          </a:r>
          <a:endParaRPr lang="en-US" sz="1100" b="1"/>
        </a:p>
      </xdr:txBody>
    </xdr:sp>
    <xdr:clientData/>
  </xdr:twoCellAnchor>
  <xdr:twoCellAnchor>
    <xdr:from>
      <xdr:col>14</xdr:col>
      <xdr:colOff>482600</xdr:colOff>
      <xdr:row>27</xdr:row>
      <xdr:rowOff>107950</xdr:rowOff>
    </xdr:from>
    <xdr:to>
      <xdr:col>16</xdr:col>
      <xdr:colOff>114300</xdr:colOff>
      <xdr:row>29</xdr:row>
      <xdr:rowOff>6350</xdr:rowOff>
    </xdr:to>
    <xdr:sp macro="" textlink="">
      <xdr:nvSpPr>
        <xdr:cNvPr id="33" name="TextBox 32">
          <a:extLst>
            <a:ext uri="{FF2B5EF4-FFF2-40B4-BE49-F238E27FC236}">
              <a16:creationId xmlns:a16="http://schemas.microsoft.com/office/drawing/2014/main" id="{719E3DB4-B889-4682-8CA6-A0192020F8F2}"/>
            </a:ext>
          </a:extLst>
        </xdr:cNvPr>
        <xdr:cNvSpPr txBox="1"/>
      </xdr:nvSpPr>
      <xdr:spPr>
        <a:xfrm>
          <a:off x="9017000" y="5080000"/>
          <a:ext cx="8509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Laptop</a:t>
          </a:r>
          <a:endParaRPr lang="en-US" sz="1100" b="1"/>
        </a:p>
      </xdr:txBody>
    </xdr:sp>
    <xdr:clientData/>
  </xdr:twoCellAnchor>
  <xdr:twoCellAnchor>
    <xdr:from>
      <xdr:col>9</xdr:col>
      <xdr:colOff>450850</xdr:colOff>
      <xdr:row>29</xdr:row>
      <xdr:rowOff>165100</xdr:rowOff>
    </xdr:from>
    <xdr:to>
      <xdr:col>11</xdr:col>
      <xdr:colOff>254000</xdr:colOff>
      <xdr:row>31</xdr:row>
      <xdr:rowOff>38100</xdr:rowOff>
    </xdr:to>
    <xdr:sp macro="" textlink="">
      <xdr:nvSpPr>
        <xdr:cNvPr id="34" name="TextBox 33">
          <a:extLst>
            <a:ext uri="{FF2B5EF4-FFF2-40B4-BE49-F238E27FC236}">
              <a16:creationId xmlns:a16="http://schemas.microsoft.com/office/drawing/2014/main" id="{3E8D18B1-3965-42CA-99CE-F044FA02E57F}"/>
            </a:ext>
          </a:extLst>
        </xdr:cNvPr>
        <xdr:cNvSpPr txBox="1"/>
      </xdr:nvSpPr>
      <xdr:spPr>
        <a:xfrm>
          <a:off x="5937250" y="5505450"/>
          <a:ext cx="102235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Best City:</a:t>
          </a:r>
          <a:endParaRPr lang="en-US" sz="1100" b="1"/>
        </a:p>
      </xdr:txBody>
    </xdr:sp>
    <xdr:clientData/>
  </xdr:twoCellAnchor>
  <xdr:twoCellAnchor>
    <xdr:from>
      <xdr:col>14</xdr:col>
      <xdr:colOff>482600</xdr:colOff>
      <xdr:row>29</xdr:row>
      <xdr:rowOff>101600</xdr:rowOff>
    </xdr:from>
    <xdr:to>
      <xdr:col>16</xdr:col>
      <xdr:colOff>101600</xdr:colOff>
      <xdr:row>30</xdr:row>
      <xdr:rowOff>171450</xdr:rowOff>
    </xdr:to>
    <xdr:sp macro="" textlink="">
      <xdr:nvSpPr>
        <xdr:cNvPr id="35" name="TextBox 34">
          <a:extLst>
            <a:ext uri="{FF2B5EF4-FFF2-40B4-BE49-F238E27FC236}">
              <a16:creationId xmlns:a16="http://schemas.microsoft.com/office/drawing/2014/main" id="{035A0983-9465-4BE4-B7FD-1ECD04CF533D}"/>
            </a:ext>
          </a:extLst>
        </xdr:cNvPr>
        <xdr:cNvSpPr txBox="1"/>
      </xdr:nvSpPr>
      <xdr:spPr>
        <a:xfrm>
          <a:off x="9017000" y="5441950"/>
          <a:ext cx="8382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Mogadishu</a:t>
          </a:r>
          <a:endParaRPr lang="en-US" sz="1100" b="1"/>
        </a:p>
      </xdr:txBody>
    </xdr:sp>
    <xdr:clientData/>
  </xdr:twoCellAnchor>
  <xdr:twoCellAnchor>
    <xdr:from>
      <xdr:col>14</xdr:col>
      <xdr:colOff>482600</xdr:colOff>
      <xdr:row>31</xdr:row>
      <xdr:rowOff>50800</xdr:rowOff>
    </xdr:from>
    <xdr:to>
      <xdr:col>16</xdr:col>
      <xdr:colOff>82550</xdr:colOff>
      <xdr:row>32</xdr:row>
      <xdr:rowOff>120650</xdr:rowOff>
    </xdr:to>
    <xdr:sp macro="" textlink="">
      <xdr:nvSpPr>
        <xdr:cNvPr id="36" name="TextBox 35">
          <a:extLst>
            <a:ext uri="{FF2B5EF4-FFF2-40B4-BE49-F238E27FC236}">
              <a16:creationId xmlns:a16="http://schemas.microsoft.com/office/drawing/2014/main" id="{8FC9DCD6-7EBC-44F4-B503-DD7F71E3112F}"/>
            </a:ext>
          </a:extLst>
        </xdr:cNvPr>
        <xdr:cNvSpPr txBox="1"/>
      </xdr:nvSpPr>
      <xdr:spPr>
        <a:xfrm>
          <a:off x="9017000" y="5759450"/>
          <a:ext cx="8191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Somalia</a:t>
          </a:r>
          <a:endParaRPr lang="en-US" sz="1100" b="1"/>
        </a:p>
      </xdr:txBody>
    </xdr:sp>
    <xdr:clientData/>
  </xdr:twoCellAnchor>
  <xdr:twoCellAnchor>
    <xdr:from>
      <xdr:col>9</xdr:col>
      <xdr:colOff>450850</xdr:colOff>
      <xdr:row>31</xdr:row>
      <xdr:rowOff>171450</xdr:rowOff>
    </xdr:from>
    <xdr:to>
      <xdr:col>11</xdr:col>
      <xdr:colOff>254000</xdr:colOff>
      <xdr:row>33</xdr:row>
      <xdr:rowOff>44450</xdr:rowOff>
    </xdr:to>
    <xdr:sp macro="" textlink="">
      <xdr:nvSpPr>
        <xdr:cNvPr id="37" name="TextBox 36">
          <a:extLst>
            <a:ext uri="{FF2B5EF4-FFF2-40B4-BE49-F238E27FC236}">
              <a16:creationId xmlns:a16="http://schemas.microsoft.com/office/drawing/2014/main" id="{77A77EE1-4257-4A54-B464-714A1E06C9C7}"/>
            </a:ext>
          </a:extLst>
        </xdr:cNvPr>
        <xdr:cNvSpPr txBox="1"/>
      </xdr:nvSpPr>
      <xdr:spPr>
        <a:xfrm>
          <a:off x="5937250" y="5880100"/>
          <a:ext cx="102235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Best Country:</a:t>
          </a:r>
          <a:endParaRPr lang="en-US" sz="1100" b="1"/>
        </a:p>
      </xdr:txBody>
    </xdr:sp>
    <xdr:clientData/>
  </xdr:twoCellAnchor>
  <xdr:twoCellAnchor>
    <xdr:from>
      <xdr:col>9</xdr:col>
      <xdr:colOff>444500</xdr:colOff>
      <xdr:row>33</xdr:row>
      <xdr:rowOff>165100</xdr:rowOff>
    </xdr:from>
    <xdr:to>
      <xdr:col>11</xdr:col>
      <xdr:colOff>469900</xdr:colOff>
      <xdr:row>35</xdr:row>
      <xdr:rowOff>25400</xdr:rowOff>
    </xdr:to>
    <xdr:sp macro="" textlink="">
      <xdr:nvSpPr>
        <xdr:cNvPr id="38" name="TextBox 37">
          <a:extLst>
            <a:ext uri="{FF2B5EF4-FFF2-40B4-BE49-F238E27FC236}">
              <a16:creationId xmlns:a16="http://schemas.microsoft.com/office/drawing/2014/main" id="{89A01570-3652-4D49-813A-57BEE5B2520B}"/>
            </a:ext>
          </a:extLst>
        </xdr:cNvPr>
        <xdr:cNvSpPr txBox="1"/>
      </xdr:nvSpPr>
      <xdr:spPr>
        <a:xfrm>
          <a:off x="5930900" y="6242050"/>
          <a:ext cx="12446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Best Salesperson:</a:t>
          </a:r>
          <a:endParaRPr lang="en-US" sz="1100" b="1"/>
        </a:p>
      </xdr:txBody>
    </xdr:sp>
    <xdr:clientData/>
  </xdr:twoCellAnchor>
  <xdr:twoCellAnchor>
    <xdr:from>
      <xdr:col>14</xdr:col>
      <xdr:colOff>495300</xdr:colOff>
      <xdr:row>33</xdr:row>
      <xdr:rowOff>38100</xdr:rowOff>
    </xdr:from>
    <xdr:to>
      <xdr:col>15</xdr:col>
      <xdr:colOff>571500</xdr:colOff>
      <xdr:row>34</xdr:row>
      <xdr:rowOff>88900</xdr:rowOff>
    </xdr:to>
    <xdr:sp macro="" textlink="">
      <xdr:nvSpPr>
        <xdr:cNvPr id="39" name="TextBox 38">
          <a:extLst>
            <a:ext uri="{FF2B5EF4-FFF2-40B4-BE49-F238E27FC236}">
              <a16:creationId xmlns:a16="http://schemas.microsoft.com/office/drawing/2014/main" id="{67BDF667-26B3-4FCA-B70F-59A576E3AC5F}"/>
            </a:ext>
          </a:extLst>
        </xdr:cNvPr>
        <xdr:cNvSpPr txBox="1"/>
      </xdr:nvSpPr>
      <xdr:spPr>
        <a:xfrm>
          <a:off x="9029700" y="6115050"/>
          <a:ext cx="68580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Ahmed</a:t>
          </a:r>
          <a:endParaRPr lang="en-US" sz="1100" b="1"/>
        </a:p>
      </xdr:txBody>
    </xdr:sp>
    <xdr:clientData/>
  </xdr:twoCellAnchor>
  <xdr:twoCellAnchor editAs="oneCell">
    <xdr:from>
      <xdr:col>17</xdr:col>
      <xdr:colOff>89253</xdr:colOff>
      <xdr:row>22</xdr:row>
      <xdr:rowOff>59265</xdr:rowOff>
    </xdr:from>
    <xdr:to>
      <xdr:col>23</xdr:col>
      <xdr:colOff>26459</xdr:colOff>
      <xdr:row>36</xdr:row>
      <xdr:rowOff>101595</xdr:rowOff>
    </xdr:to>
    <mc:AlternateContent xmlns:mc="http://schemas.openxmlformats.org/markup-compatibility/2006">
      <mc:Choice xmlns:a14="http://schemas.microsoft.com/office/drawing/2010/main" Requires="a14">
        <xdr:graphicFrame macro="">
          <xdr:nvGraphicFramePr>
            <xdr:cNvPr id="40" name="City">
              <a:extLst>
                <a:ext uri="{FF2B5EF4-FFF2-40B4-BE49-F238E27FC236}">
                  <a16:creationId xmlns:a16="http://schemas.microsoft.com/office/drawing/2014/main" id="{A654791D-C6F0-4A98-9642-73F8D570BD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434461" y="4133848"/>
              <a:ext cx="3588456" cy="2635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107950</xdr:colOff>
      <xdr:row>0</xdr:row>
      <xdr:rowOff>82550</xdr:rowOff>
    </xdr:from>
    <xdr:to>
      <xdr:col>22</xdr:col>
      <xdr:colOff>584200</xdr:colOff>
      <xdr:row>6</xdr:row>
      <xdr:rowOff>171450</xdr:rowOff>
    </xdr:to>
    <mc:AlternateContent xmlns:mc="http://schemas.openxmlformats.org/markup-compatibility/2006">
      <mc:Choice xmlns:a14="http://schemas.microsoft.com/office/drawing/2010/main" Requires="a14">
        <xdr:graphicFrame macro="">
          <xdr:nvGraphicFramePr>
            <xdr:cNvPr id="41" name="Category">
              <a:extLst>
                <a:ext uri="{FF2B5EF4-FFF2-40B4-BE49-F238E27FC236}">
                  <a16:creationId xmlns:a16="http://schemas.microsoft.com/office/drawing/2014/main" id="{02B8B660-CA68-40C0-AF12-95FBF28586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78783" y="82550"/>
              <a:ext cx="1693334"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0.30962</cdr:x>
      <cdr:y>0.51691</cdr:y>
    </cdr:from>
    <cdr:to>
      <cdr:x>0.86192</cdr:x>
      <cdr:y>0.68898</cdr:y>
    </cdr:to>
    <cdr:sp macro="" textlink="">
      <cdr:nvSpPr>
        <cdr:cNvPr id="2" name="TextBox 1">
          <a:extLst xmlns:a="http://schemas.openxmlformats.org/drawingml/2006/main">
            <a:ext uri="{FF2B5EF4-FFF2-40B4-BE49-F238E27FC236}">
              <a16:creationId xmlns:a16="http://schemas.microsoft.com/office/drawing/2014/main" id="{51B4D80D-FF2F-0B14-38B2-8A290A1629EE}"/>
            </a:ext>
          </a:extLst>
        </cdr:cNvPr>
        <cdr:cNvSpPr txBox="1"/>
      </cdr:nvSpPr>
      <cdr:spPr>
        <a:xfrm xmlns:a="http://schemas.openxmlformats.org/drawingml/2006/main">
          <a:off x="469900" y="833724"/>
          <a:ext cx="838199" cy="2775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ysClr val="windowText" lastClr="000000"/>
              </a:solidFill>
            </a:rPr>
            <a:t>26834</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sh" refreshedDate="46279.187343518519" createdVersion="8" refreshedVersion="8" minRefreshableVersion="3" recordCount="30" xr:uid="{798032B7-B324-4273-97DB-1D07CFF84467}">
  <cacheSource type="worksheet">
    <worksheetSource name="Table2"/>
  </cacheSource>
  <cacheFields count="12">
    <cacheField name="Order_ID" numFmtId="0">
      <sharedItems containsSemiMixedTypes="0" containsString="0" containsNumber="1" containsInteger="1" minValue="1001" maxValue="1030"/>
    </cacheField>
    <cacheField name="Date" numFmtId="14">
      <sharedItems containsSemiMixedTypes="0" containsNonDate="0" containsDate="1" containsString="0" minDate="2025-01-08T00:00:00" maxDate="2025-10-30T00:00:00"/>
    </cacheField>
    <cacheField name="Month" numFmtId="0">
      <sharedItems count="10">
        <s v="January"/>
        <s v="February"/>
        <s v="March"/>
        <s v="April"/>
        <s v="May"/>
        <s v="June"/>
        <s v="July"/>
        <s v="August"/>
        <s v="September"/>
        <s v="October"/>
      </sharedItems>
    </cacheField>
    <cacheField name="Year" numFmtId="0">
      <sharedItems containsSemiMixedTypes="0" containsString="0" containsNumber="1" containsInteger="1" minValue="2025" maxValue="2025" count="1">
        <n v="2025"/>
      </sharedItems>
    </cacheField>
    <cacheField name="Country" numFmtId="0">
      <sharedItems count="6">
        <s v="Somalia"/>
        <s v="Kenya"/>
        <s v="Ethiopia"/>
        <s v="Djibouti"/>
        <s v="Uganda"/>
        <s v="Tanzania"/>
      </sharedItems>
    </cacheField>
    <cacheField name="City" numFmtId="0">
      <sharedItems count="10">
        <s v="Mogadishu"/>
        <s v="Nairobi"/>
        <s v="Addis Ababa"/>
        <s v="Djibouti City"/>
        <s v="Hargeisa"/>
        <s v="Kampala"/>
        <s v="Mombasa"/>
        <s v="Dar es Salaam"/>
        <s v="Garowe"/>
        <s v="Dire Dawa"/>
      </sharedItems>
    </cacheField>
    <cacheField name="Salesperson" numFmtId="0">
      <sharedItems count="4">
        <s v="Ahmed"/>
        <s v="Amina"/>
        <s v="Hassan"/>
        <s v="Mohamed"/>
      </sharedItems>
    </cacheField>
    <cacheField name="Product" numFmtId="0">
      <sharedItems count="5">
        <s v="Laptop"/>
        <s v="Monitor"/>
        <s v="Printer"/>
        <s v="Keyboard"/>
        <s v="Mouse"/>
      </sharedItems>
    </cacheField>
    <cacheField name="Category" numFmtId="0">
      <sharedItems count="3">
        <s v="Electronics"/>
        <s v="Office"/>
        <s v="Accessories"/>
      </sharedItems>
    </cacheField>
    <cacheField name="Quantity" numFmtId="0">
      <sharedItems containsSemiMixedTypes="0" containsString="0" containsNumber="1" containsInteger="1" minValue="1" maxValue="12" count="10">
        <n v="2"/>
        <n v="3"/>
        <n v="5"/>
        <n v="1"/>
        <n v="8"/>
        <n v="4"/>
        <n v="10"/>
        <n v="6"/>
        <n v="12"/>
        <n v="9"/>
      </sharedItems>
    </cacheField>
    <cacheField name="Unit_Price" numFmtId="0">
      <sharedItems containsSemiMixedTypes="0" containsString="0" containsNumber="1" containsInteger="1" minValue="17" maxValue="750" count="26">
        <n v="700"/>
        <n v="230"/>
        <n v="250"/>
        <n v="30"/>
        <n v="720"/>
        <n v="18"/>
        <n v="225"/>
        <n v="680"/>
        <n v="245"/>
        <n v="28"/>
        <n v="710"/>
        <n v="17"/>
        <n v="235"/>
        <n v="255"/>
        <n v="740"/>
        <n v="32"/>
        <n v="690"/>
        <n v="19"/>
        <n v="240"/>
        <n v="260"/>
        <n v="750"/>
        <n v="31"/>
        <n v="730"/>
        <n v="220"/>
        <n v="715"/>
        <n v="265"/>
      </sharedItems>
    </cacheField>
    <cacheField name="Total_Sales" numFmtId="0">
      <sharedItems containsSemiMixedTypes="0" containsString="0" containsNumber="1" containsInteger="1" minValue="102" maxValue="2145"/>
    </cacheField>
  </cacheFields>
  <extLst>
    <ext xmlns:x14="http://schemas.microsoft.com/office/spreadsheetml/2009/9/main" uri="{725AE2AE-9491-48be-B2B4-4EB974FC3084}">
      <x14:pivotCacheDefinition pivotCacheId="747058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d v="2025-01-08T00:00:00"/>
    <x v="0"/>
    <x v="0"/>
    <x v="0"/>
    <x v="0"/>
    <x v="0"/>
    <x v="0"/>
    <x v="0"/>
    <x v="0"/>
    <x v="0"/>
    <n v="1400"/>
  </r>
  <r>
    <n v="1002"/>
    <d v="2025-01-15T00:00:00"/>
    <x v="0"/>
    <x v="0"/>
    <x v="1"/>
    <x v="1"/>
    <x v="1"/>
    <x v="1"/>
    <x v="0"/>
    <x v="1"/>
    <x v="1"/>
    <n v="690"/>
  </r>
  <r>
    <n v="1003"/>
    <d v="2025-01-27T00:00:00"/>
    <x v="0"/>
    <x v="0"/>
    <x v="2"/>
    <x v="2"/>
    <x v="2"/>
    <x v="2"/>
    <x v="1"/>
    <x v="0"/>
    <x v="2"/>
    <n v="500"/>
  </r>
  <r>
    <n v="1004"/>
    <d v="2025-02-06T00:00:00"/>
    <x v="1"/>
    <x v="0"/>
    <x v="3"/>
    <x v="3"/>
    <x v="3"/>
    <x v="3"/>
    <x v="2"/>
    <x v="2"/>
    <x v="3"/>
    <n v="150"/>
  </r>
  <r>
    <n v="1005"/>
    <d v="2025-02-18T00:00:00"/>
    <x v="1"/>
    <x v="0"/>
    <x v="0"/>
    <x v="4"/>
    <x v="0"/>
    <x v="0"/>
    <x v="0"/>
    <x v="3"/>
    <x v="4"/>
    <n v="720"/>
  </r>
  <r>
    <n v="1006"/>
    <d v="2025-02-25T00:00:00"/>
    <x v="1"/>
    <x v="0"/>
    <x v="4"/>
    <x v="5"/>
    <x v="1"/>
    <x v="4"/>
    <x v="2"/>
    <x v="4"/>
    <x v="5"/>
    <n v="144"/>
  </r>
  <r>
    <n v="1007"/>
    <d v="2025-03-05T00:00:00"/>
    <x v="2"/>
    <x v="0"/>
    <x v="1"/>
    <x v="6"/>
    <x v="2"/>
    <x v="1"/>
    <x v="0"/>
    <x v="5"/>
    <x v="6"/>
    <n v="900"/>
  </r>
  <r>
    <n v="1008"/>
    <d v="2025-03-16T00:00:00"/>
    <x v="2"/>
    <x v="0"/>
    <x v="5"/>
    <x v="7"/>
    <x v="3"/>
    <x v="0"/>
    <x v="0"/>
    <x v="0"/>
    <x v="7"/>
    <n v="1360"/>
  </r>
  <r>
    <n v="1009"/>
    <d v="2025-03-28T00:00:00"/>
    <x v="2"/>
    <x v="0"/>
    <x v="0"/>
    <x v="8"/>
    <x v="0"/>
    <x v="2"/>
    <x v="1"/>
    <x v="1"/>
    <x v="8"/>
    <n v="735"/>
  </r>
  <r>
    <n v="1010"/>
    <d v="2025-04-07T00:00:00"/>
    <x v="3"/>
    <x v="0"/>
    <x v="2"/>
    <x v="9"/>
    <x v="1"/>
    <x v="3"/>
    <x v="2"/>
    <x v="6"/>
    <x v="9"/>
    <n v="280"/>
  </r>
  <r>
    <n v="1011"/>
    <d v="2025-04-19T00:00:00"/>
    <x v="3"/>
    <x v="0"/>
    <x v="1"/>
    <x v="1"/>
    <x v="2"/>
    <x v="0"/>
    <x v="0"/>
    <x v="0"/>
    <x v="10"/>
    <n v="1420"/>
  </r>
  <r>
    <n v="1012"/>
    <d v="2025-04-26T00:00:00"/>
    <x v="3"/>
    <x v="0"/>
    <x v="3"/>
    <x v="3"/>
    <x v="3"/>
    <x v="4"/>
    <x v="2"/>
    <x v="7"/>
    <x v="11"/>
    <n v="102"/>
  </r>
  <r>
    <n v="1013"/>
    <d v="2025-05-04T00:00:00"/>
    <x v="4"/>
    <x v="0"/>
    <x v="0"/>
    <x v="0"/>
    <x v="0"/>
    <x v="1"/>
    <x v="0"/>
    <x v="2"/>
    <x v="12"/>
    <n v="1175"/>
  </r>
  <r>
    <n v="1014"/>
    <d v="2025-05-14T00:00:00"/>
    <x v="4"/>
    <x v="0"/>
    <x v="4"/>
    <x v="5"/>
    <x v="1"/>
    <x v="2"/>
    <x v="1"/>
    <x v="1"/>
    <x v="13"/>
    <n v="765"/>
  </r>
  <r>
    <n v="1015"/>
    <d v="2025-05-29T00:00:00"/>
    <x v="4"/>
    <x v="0"/>
    <x v="5"/>
    <x v="7"/>
    <x v="2"/>
    <x v="0"/>
    <x v="0"/>
    <x v="3"/>
    <x v="14"/>
    <n v="740"/>
  </r>
  <r>
    <n v="1016"/>
    <d v="2025-06-08T00:00:00"/>
    <x v="5"/>
    <x v="0"/>
    <x v="1"/>
    <x v="1"/>
    <x v="3"/>
    <x v="3"/>
    <x v="2"/>
    <x v="8"/>
    <x v="15"/>
    <n v="384"/>
  </r>
  <r>
    <n v="1017"/>
    <d v="2025-06-17T00:00:00"/>
    <x v="5"/>
    <x v="0"/>
    <x v="2"/>
    <x v="2"/>
    <x v="0"/>
    <x v="0"/>
    <x v="0"/>
    <x v="1"/>
    <x v="16"/>
    <n v="2070"/>
  </r>
  <r>
    <n v="1018"/>
    <d v="2025-06-25T00:00:00"/>
    <x v="5"/>
    <x v="0"/>
    <x v="0"/>
    <x v="4"/>
    <x v="1"/>
    <x v="4"/>
    <x v="2"/>
    <x v="6"/>
    <x v="17"/>
    <n v="190"/>
  </r>
  <r>
    <n v="1019"/>
    <d v="2025-07-06T00:00:00"/>
    <x v="6"/>
    <x v="0"/>
    <x v="3"/>
    <x v="3"/>
    <x v="2"/>
    <x v="1"/>
    <x v="0"/>
    <x v="5"/>
    <x v="18"/>
    <n v="960"/>
  </r>
  <r>
    <n v="1020"/>
    <d v="2025-07-15T00:00:00"/>
    <x v="6"/>
    <x v="0"/>
    <x v="1"/>
    <x v="6"/>
    <x v="3"/>
    <x v="2"/>
    <x v="1"/>
    <x v="5"/>
    <x v="19"/>
    <n v="1040"/>
  </r>
  <r>
    <n v="1021"/>
    <d v="2025-07-27T00:00:00"/>
    <x v="6"/>
    <x v="0"/>
    <x v="0"/>
    <x v="0"/>
    <x v="0"/>
    <x v="0"/>
    <x v="0"/>
    <x v="0"/>
    <x v="20"/>
    <n v="1500"/>
  </r>
  <r>
    <n v="1022"/>
    <d v="2025-08-05T00:00:00"/>
    <x v="7"/>
    <x v="0"/>
    <x v="5"/>
    <x v="7"/>
    <x v="1"/>
    <x v="3"/>
    <x v="2"/>
    <x v="9"/>
    <x v="21"/>
    <n v="279"/>
  </r>
  <r>
    <n v="1023"/>
    <d v="2025-08-18T00:00:00"/>
    <x v="7"/>
    <x v="0"/>
    <x v="2"/>
    <x v="2"/>
    <x v="2"/>
    <x v="1"/>
    <x v="0"/>
    <x v="1"/>
    <x v="8"/>
    <n v="735"/>
  </r>
  <r>
    <n v="1024"/>
    <d v="2025-08-26T00:00:00"/>
    <x v="7"/>
    <x v="0"/>
    <x v="4"/>
    <x v="5"/>
    <x v="3"/>
    <x v="0"/>
    <x v="0"/>
    <x v="0"/>
    <x v="0"/>
    <n v="1400"/>
  </r>
  <r>
    <n v="1025"/>
    <d v="2025-09-07T00:00:00"/>
    <x v="8"/>
    <x v="0"/>
    <x v="0"/>
    <x v="8"/>
    <x v="0"/>
    <x v="2"/>
    <x v="1"/>
    <x v="2"/>
    <x v="2"/>
    <n v="1250"/>
  </r>
  <r>
    <n v="1026"/>
    <d v="2025-09-16T00:00:00"/>
    <x v="8"/>
    <x v="0"/>
    <x v="1"/>
    <x v="1"/>
    <x v="1"/>
    <x v="0"/>
    <x v="0"/>
    <x v="0"/>
    <x v="22"/>
    <n v="1460"/>
  </r>
  <r>
    <n v="1027"/>
    <d v="2025-09-28T00:00:00"/>
    <x v="8"/>
    <x v="0"/>
    <x v="3"/>
    <x v="3"/>
    <x v="2"/>
    <x v="4"/>
    <x v="2"/>
    <x v="6"/>
    <x v="5"/>
    <n v="180"/>
  </r>
  <r>
    <n v="1028"/>
    <d v="2025-10-09T00:00:00"/>
    <x v="9"/>
    <x v="0"/>
    <x v="2"/>
    <x v="9"/>
    <x v="3"/>
    <x v="1"/>
    <x v="0"/>
    <x v="2"/>
    <x v="23"/>
    <n v="1100"/>
  </r>
  <r>
    <n v="1029"/>
    <d v="2025-10-17T00:00:00"/>
    <x v="9"/>
    <x v="0"/>
    <x v="0"/>
    <x v="0"/>
    <x v="0"/>
    <x v="0"/>
    <x v="0"/>
    <x v="1"/>
    <x v="24"/>
    <n v="2145"/>
  </r>
  <r>
    <n v="1030"/>
    <d v="2025-10-29T00:00:00"/>
    <x v="9"/>
    <x v="0"/>
    <x v="5"/>
    <x v="7"/>
    <x v="1"/>
    <x v="2"/>
    <x v="1"/>
    <x v="5"/>
    <x v="25"/>
    <n v="10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F745F-217C-47EF-8987-1AC994E5DD4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N14:O19" firstHeaderRow="1" firstDataRow="1" firstDataCol="1"/>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compact="0" outline="0" showAll="0">
      <items count="7">
        <item x="3"/>
        <item x="2"/>
        <item x="1"/>
        <item x="0"/>
        <item x="5"/>
        <item x="4"/>
        <item t="default"/>
      </items>
    </pivotField>
    <pivotField compact="0" outline="0" showAll="0">
      <items count="11">
        <item x="2"/>
        <item x="7"/>
        <item x="9"/>
        <item x="3"/>
        <item x="8"/>
        <item x="4"/>
        <item x="5"/>
        <item x="0"/>
        <item x="6"/>
        <item x="1"/>
        <item t="default"/>
      </items>
    </pivotField>
    <pivotField axis="axisRow"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howAll="0">
      <items count="6">
        <item x="3"/>
        <item x="0"/>
        <item x="1"/>
        <item x="4"/>
        <item x="2"/>
        <item t="default"/>
      </items>
    </pivotField>
    <pivotField compact="0" outline="0" showAll="0"/>
    <pivotField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dataField="1" compact="0" outline="0" showAll="0"/>
  </pivotFields>
  <rowFields count="1">
    <field x="6"/>
  </rowFields>
  <rowItems count="5">
    <i>
      <x/>
    </i>
    <i>
      <x v="3"/>
    </i>
    <i>
      <x v="2"/>
    </i>
    <i>
      <x v="1"/>
    </i>
    <i t="grand">
      <x/>
    </i>
  </rowItems>
  <colItems count="1">
    <i/>
  </colItems>
  <dataFields count="1">
    <dataField name="Sum of Total_Sales" fld="11"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6" count="1" selected="0">
            <x v="0"/>
          </reference>
        </references>
      </pivotArea>
    </chartFormat>
    <chartFormat chart="8" format="12">
      <pivotArea type="data" outline="0" fieldPosition="0">
        <references count="2">
          <reference field="4294967294" count="1" selected="0">
            <x v="0"/>
          </reference>
          <reference field="6" count="1" selected="0">
            <x v="1"/>
          </reference>
        </references>
      </pivotArea>
    </chartFormat>
    <chartFormat chart="8" format="13">
      <pivotArea type="data" outline="0" fieldPosition="0">
        <references count="2">
          <reference field="4294967294" count="1" selected="0">
            <x v="0"/>
          </reference>
          <reference field="6" count="1" selected="0">
            <x v="2"/>
          </reference>
        </references>
      </pivotArea>
    </chartFormat>
    <chartFormat chart="8"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1B2B3B-6F34-4B28-A3D7-FAA837FCADF0}"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Y34:Z39" firstHeaderRow="1" firstDataRow="1" firstDataCol="1"/>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compact="0" outline="0" showAll="0">
      <items count="7">
        <item x="3"/>
        <item x="2"/>
        <item x="1"/>
        <item x="0"/>
        <item x="5"/>
        <item x="4"/>
        <item t="default"/>
      </items>
    </pivotField>
    <pivotField compact="0" outline="0" showAll="0">
      <items count="11">
        <item x="2"/>
        <item x="7"/>
        <item x="9"/>
        <item x="3"/>
        <item x="8"/>
        <item x="4"/>
        <item x="5"/>
        <item x="0"/>
        <item x="6"/>
        <item x="1"/>
        <item t="default"/>
      </items>
    </pivotField>
    <pivotField axis="axisRow" compact="0" outline="0" showAll="0">
      <items count="5">
        <item x="0"/>
        <item x="1"/>
        <item x="2"/>
        <item x="3"/>
        <item t="default"/>
      </items>
    </pivotField>
    <pivotField compact="0" outline="0" showAll="0">
      <items count="6">
        <item x="3"/>
        <item x="0"/>
        <item x="1"/>
        <item x="4"/>
        <item x="2"/>
        <item t="default"/>
      </items>
    </pivotField>
    <pivotField compact="0" outline="0" showAll="0"/>
    <pivotField dataField="1"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compact="0" outline="0" showAll="0"/>
  </pivotFields>
  <rowFields count="1">
    <field x="6"/>
  </rowFields>
  <rowItems count="5">
    <i>
      <x/>
    </i>
    <i>
      <x v="1"/>
    </i>
    <i>
      <x v="2"/>
    </i>
    <i>
      <x v="3"/>
    </i>
    <i t="grand">
      <x/>
    </i>
  </rowItems>
  <colItems count="1">
    <i/>
  </colItems>
  <dataFields count="1">
    <dataField name="Sum of Quantity" fld="9"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1"/>
          </reference>
        </references>
      </pivotArea>
    </chartFormat>
    <chartFormat chart="4" format="13">
      <pivotArea type="data" outline="0" fieldPosition="0">
        <references count="2">
          <reference field="4294967294" count="1" selected="0">
            <x v="0"/>
          </reference>
          <reference field="6" count="1" selected="0">
            <x v="2"/>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12920-8E6C-4FEA-B58A-D1290A56B0A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H3:AH4" firstHeaderRow="1" firstDataRow="1" firstDataCol="0"/>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compact="0" outline="0" showAll="0">
      <items count="7">
        <item x="3"/>
        <item x="2"/>
        <item x="1"/>
        <item x="0"/>
        <item x="5"/>
        <item x="4"/>
        <item t="default"/>
      </items>
    </pivotField>
    <pivotField compact="0" outline="0" showAll="0">
      <items count="11">
        <item x="2"/>
        <item x="7"/>
        <item x="9"/>
        <item x="3"/>
        <item x="8"/>
        <item x="4"/>
        <item x="5"/>
        <item x="0"/>
        <item x="6"/>
        <item x="1"/>
        <item t="default"/>
      </items>
    </pivotField>
    <pivotField compact="0" outline="0" showAll="0">
      <items count="5">
        <item x="0"/>
        <item x="1"/>
        <item x="2"/>
        <item x="3"/>
        <item t="default"/>
      </items>
    </pivotField>
    <pivotField compact="0" outline="0" showAll="0">
      <items count="6">
        <item x="3"/>
        <item x="0"/>
        <item x="1"/>
        <item x="4"/>
        <item x="2"/>
        <item t="default"/>
      </items>
    </pivotField>
    <pivotField compact="0" outline="0" showAll="0"/>
    <pivotField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dataField="1" compact="0" outline="0" showAll="0"/>
  </pivotFields>
  <rowItems count="1">
    <i/>
  </rowItems>
  <colItems count="1">
    <i/>
  </colItems>
  <dataFields count="1">
    <dataField name="Sum of Total_Sales" fld="11" baseField="0" baseItem="0"/>
  </dataFields>
  <formats count="3">
    <format dxfId="52">
      <pivotArea outline="0" collapsedLevelsAreSubtotals="1" fieldPosition="0"/>
    </format>
    <format dxfId="51">
      <pivotArea outline="0" collapsedLevelsAreSubtotals="1" fieldPosition="0"/>
    </format>
    <format dxfId="50">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1">
          <reference field="4294967294" count="1" selected="0">
            <x v="0"/>
          </reference>
        </references>
      </pivotArea>
    </chartFormat>
    <chartFormat chart="7"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9DF33-740C-42B8-87D1-D50BA7A26534}"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Y2:Z13" firstHeaderRow="1" firstDataRow="1" firstDataCol="1"/>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compact="0" outline="0" showAll="0">
      <items count="7">
        <item x="3"/>
        <item x="2"/>
        <item x="1"/>
        <item x="0"/>
        <item x="5"/>
        <item x="4"/>
        <item t="default"/>
      </items>
    </pivotField>
    <pivotField axis="axisRow" compact="0" outline="0" showAll="0" sortType="descending">
      <items count="11">
        <item x="2"/>
        <item x="7"/>
        <item x="9"/>
        <item x="3"/>
        <item x="8"/>
        <item x="4"/>
        <item x="5"/>
        <item x="0"/>
        <item x="6"/>
        <item x="1"/>
        <item t="default"/>
      </items>
      <autoSortScope>
        <pivotArea dataOnly="0" outline="0" fieldPosition="0">
          <references count="1">
            <reference field="4294967294" count="1" selected="0">
              <x v="0"/>
            </reference>
          </references>
        </pivotArea>
      </autoSortScope>
    </pivotField>
    <pivotField compact="0" outline="0" showAll="0">
      <items count="5">
        <item x="0"/>
        <item x="1"/>
        <item x="2"/>
        <item x="3"/>
        <item t="default"/>
      </items>
    </pivotField>
    <pivotField compact="0" outline="0" showAll="0">
      <items count="6">
        <item x="3"/>
        <item x="0"/>
        <item x="1"/>
        <item x="4"/>
        <item x="2"/>
        <item t="default"/>
      </items>
    </pivotField>
    <pivotField compact="0" outline="0" showAll="0"/>
    <pivotField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dataField="1" compact="0" outline="0" showAll="0"/>
  </pivotFields>
  <rowFields count="1">
    <field x="5"/>
  </rowFields>
  <rowItems count="11">
    <i>
      <x v="7"/>
    </i>
    <i>
      <x v="9"/>
    </i>
    <i>
      <x v="1"/>
    </i>
    <i>
      <x/>
    </i>
    <i>
      <x v="6"/>
    </i>
    <i>
      <x v="4"/>
    </i>
    <i>
      <x v="8"/>
    </i>
    <i>
      <x v="3"/>
    </i>
    <i>
      <x v="2"/>
    </i>
    <i>
      <x v="5"/>
    </i>
    <i t="grand">
      <x/>
    </i>
  </rowItems>
  <colItems count="1">
    <i/>
  </colItems>
  <dataFields count="1">
    <dataField name="Sum of Total_Sales" fld="11" baseField="0" baseItem="0"/>
  </dataFields>
  <chartFormats count="2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 chart="1" format="8">
      <pivotArea type="data" outline="0" fieldPosition="0">
        <references count="2">
          <reference field="4294967294" count="1" selected="0">
            <x v="0"/>
          </reference>
          <reference field="5" count="1" selected="0">
            <x v="7"/>
          </reference>
        </references>
      </pivotArea>
    </chartFormat>
    <chartFormat chart="1" format="9">
      <pivotArea type="data" outline="0" fieldPosition="0">
        <references count="2">
          <reference field="4294967294" count="1" selected="0">
            <x v="0"/>
          </reference>
          <reference field="5" count="1" selected="0">
            <x v="8"/>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5" count="1" selected="0">
            <x v="0"/>
          </reference>
        </references>
      </pivotArea>
    </chartFormat>
    <chartFormat chart="7" format="24">
      <pivotArea type="data" outline="0" fieldPosition="0">
        <references count="2">
          <reference field="4294967294" count="1" selected="0">
            <x v="0"/>
          </reference>
          <reference field="5" count="1" selected="0">
            <x v="1"/>
          </reference>
        </references>
      </pivotArea>
    </chartFormat>
    <chartFormat chart="7" format="25">
      <pivotArea type="data" outline="0" fieldPosition="0">
        <references count="2">
          <reference field="4294967294" count="1" selected="0">
            <x v="0"/>
          </reference>
          <reference field="5" count="1" selected="0">
            <x v="2"/>
          </reference>
        </references>
      </pivotArea>
    </chartFormat>
    <chartFormat chart="7" format="26">
      <pivotArea type="data" outline="0" fieldPosition="0">
        <references count="2">
          <reference field="4294967294" count="1" selected="0">
            <x v="0"/>
          </reference>
          <reference field="5" count="1" selected="0">
            <x v="3"/>
          </reference>
        </references>
      </pivotArea>
    </chartFormat>
    <chartFormat chart="7" format="27">
      <pivotArea type="data" outline="0" fieldPosition="0">
        <references count="2">
          <reference field="4294967294" count="1" selected="0">
            <x v="0"/>
          </reference>
          <reference field="5" count="1" selected="0">
            <x v="4"/>
          </reference>
        </references>
      </pivotArea>
    </chartFormat>
    <chartFormat chart="7" format="28">
      <pivotArea type="data" outline="0" fieldPosition="0">
        <references count="2">
          <reference field="4294967294" count="1" selected="0">
            <x v="0"/>
          </reference>
          <reference field="5" count="1" selected="0">
            <x v="5"/>
          </reference>
        </references>
      </pivotArea>
    </chartFormat>
    <chartFormat chart="7" format="29">
      <pivotArea type="data" outline="0" fieldPosition="0">
        <references count="2">
          <reference field="4294967294" count="1" selected="0">
            <x v="0"/>
          </reference>
          <reference field="5" count="1" selected="0">
            <x v="6"/>
          </reference>
        </references>
      </pivotArea>
    </chartFormat>
    <chartFormat chart="7" format="30">
      <pivotArea type="data" outline="0" fieldPosition="0">
        <references count="2">
          <reference field="4294967294" count="1" selected="0">
            <x v="0"/>
          </reference>
          <reference field="5" count="1" selected="0">
            <x v="7"/>
          </reference>
        </references>
      </pivotArea>
    </chartFormat>
    <chartFormat chart="7" format="31">
      <pivotArea type="data" outline="0" fieldPosition="0">
        <references count="2">
          <reference field="4294967294" count="1" selected="0">
            <x v="0"/>
          </reference>
          <reference field="5" count="1" selected="0">
            <x v="8"/>
          </reference>
        </references>
      </pivotArea>
    </chartFormat>
    <chartFormat chart="7" format="3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90FBE5-68CA-44AF-9F26-8712052E9A1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Y18:Z24" firstHeaderRow="1" firstDataRow="1" firstDataCol="1"/>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compact="0" outline="0" showAll="0">
      <items count="7">
        <item x="3"/>
        <item x="2"/>
        <item x="1"/>
        <item x="0"/>
        <item x="5"/>
        <item x="4"/>
        <item t="default"/>
      </items>
    </pivotField>
    <pivotField compact="0" outline="0" showAll="0">
      <items count="11">
        <item x="2"/>
        <item x="7"/>
        <item x="9"/>
        <item x="3"/>
        <item x="8"/>
        <item x="4"/>
        <item x="5"/>
        <item x="0"/>
        <item x="6"/>
        <item x="1"/>
        <item t="default"/>
      </items>
    </pivotField>
    <pivotField compact="0" outline="0" showAll="0">
      <items count="5">
        <item x="0"/>
        <item x="1"/>
        <item x="2"/>
        <item x="3"/>
        <item t="default"/>
      </items>
    </pivotField>
    <pivotField axis="axisRow" compact="0" outline="0" showAll="0">
      <items count="6">
        <item x="3"/>
        <item x="0"/>
        <item x="1"/>
        <item x="4"/>
        <item x="2"/>
        <item t="default"/>
      </items>
    </pivotField>
    <pivotField compact="0" outline="0" showAll="0">
      <items count="4">
        <item x="2"/>
        <item x="0"/>
        <item x="1"/>
        <item t="default"/>
      </items>
    </pivotField>
    <pivotField dataField="1" compact="0" outline="0" showAll="0">
      <items count="11">
        <item x="3"/>
        <item x="0"/>
        <item x="1"/>
        <item x="5"/>
        <item x="2"/>
        <item x="7"/>
        <item x="4"/>
        <item x="9"/>
        <item x="6"/>
        <item x="8"/>
        <item t="default"/>
      </items>
    </pivotField>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compact="0" outline="0" showAll="0"/>
  </pivotFields>
  <rowFields count="1">
    <field x="7"/>
  </rowFields>
  <rowItems count="6">
    <i>
      <x/>
    </i>
    <i>
      <x v="1"/>
    </i>
    <i>
      <x v="2"/>
    </i>
    <i>
      <x v="3"/>
    </i>
    <i>
      <x v="4"/>
    </i>
    <i t="grand">
      <x/>
    </i>
  </rowItems>
  <colItems count="1">
    <i/>
  </colItems>
  <dataFields count="1">
    <dataField name="Sum of Quantity" fld="9" baseField="0" baseItem="0"/>
  </dataFields>
  <chartFormats count="1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6" format="16">
      <pivotArea type="data" outline="0" fieldPosition="0">
        <references count="2">
          <reference field="4294967294" count="1" selected="0">
            <x v="0"/>
          </reference>
          <reference field="7" count="1" selected="0">
            <x v="3"/>
          </reference>
        </references>
      </pivotArea>
    </chartFormat>
    <chartFormat chart="6"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3D4F82-4D63-4E94-991E-4517E896099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N35:O46" firstHeaderRow="1" firstDataRow="1" firstDataCol="1"/>
  <pivotFields count="12">
    <pivotField compact="0" outline="0" showAll="0"/>
    <pivotField compact="0" numFmtId="14" outline="0" showAll="0"/>
    <pivotField axis="axisRow" compact="0" outline="0"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outline="0" showAll="0">
      <items count="2">
        <item x="0"/>
        <item t="default"/>
      </items>
    </pivotField>
    <pivotField compact="0" outline="0" showAll="0">
      <items count="7">
        <item x="3"/>
        <item x="2"/>
        <item x="1"/>
        <item x="0"/>
        <item x="5"/>
        <item x="4"/>
        <item t="default"/>
      </items>
    </pivotField>
    <pivotField compact="0" outline="0" showAll="0">
      <items count="11">
        <item x="2"/>
        <item x="7"/>
        <item x="9"/>
        <item x="3"/>
        <item x="8"/>
        <item x="4"/>
        <item x="5"/>
        <item x="0"/>
        <item x="6"/>
        <item x="1"/>
        <item t="default"/>
      </items>
    </pivotField>
    <pivotField compact="0" outline="0" showAll="0">
      <items count="5">
        <item x="0"/>
        <item x="1"/>
        <item x="2"/>
        <item x="3"/>
        <item t="default"/>
      </items>
    </pivotField>
    <pivotField compact="0" outline="0" showAll="0">
      <items count="6">
        <item x="3"/>
        <item x="0"/>
        <item x="1"/>
        <item x="4"/>
        <item x="2"/>
        <item t="default"/>
      </items>
    </pivotField>
    <pivotField compact="0" outline="0" showAll="0"/>
    <pivotField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dataField="1" compact="0" outline="0" showAll="0"/>
  </pivotFields>
  <rowFields count="1">
    <field x="2"/>
  </rowFields>
  <rowItems count="11">
    <i>
      <x v="9"/>
    </i>
    <i>
      <x v="6"/>
    </i>
    <i>
      <x v="2"/>
    </i>
    <i>
      <x v="8"/>
    </i>
    <i>
      <x v="4"/>
    </i>
    <i>
      <x v="5"/>
    </i>
    <i>
      <x/>
    </i>
    <i>
      <x v="7"/>
    </i>
    <i>
      <x v="3"/>
    </i>
    <i>
      <x v="1"/>
    </i>
    <i t="grand">
      <x/>
    </i>
  </rowItems>
  <colItems count="1">
    <i/>
  </colItems>
  <dataFields count="1">
    <dataField name="Sum of Total_Sales" fld="11"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54310C-1695-48DD-97F3-236D37B74BE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N3:O9" firstHeaderRow="1" firstDataRow="1" firstDataCol="1"/>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compact="0" outline="0" showAll="0">
      <items count="7">
        <item x="3"/>
        <item x="2"/>
        <item x="1"/>
        <item x="0"/>
        <item x="5"/>
        <item x="4"/>
        <item t="default"/>
      </items>
    </pivotField>
    <pivotField compact="0" outline="0" showAll="0">
      <items count="11">
        <item x="2"/>
        <item x="7"/>
        <item x="9"/>
        <item x="3"/>
        <item x="8"/>
        <item x="4"/>
        <item x="5"/>
        <item x="0"/>
        <item x="6"/>
        <item x="1"/>
        <item t="default"/>
      </items>
    </pivotField>
    <pivotField compact="0" outline="0" showAll="0">
      <items count="5">
        <item x="0"/>
        <item x="1"/>
        <item x="2"/>
        <item x="3"/>
        <item t="default"/>
      </items>
    </pivotField>
    <pivotField axis="axisRow" compact="0" outline="0" showAll="0">
      <items count="6">
        <item x="3"/>
        <item x="0"/>
        <item x="1"/>
        <item x="4"/>
        <item x="2"/>
        <item t="default"/>
      </items>
    </pivotField>
    <pivotField compact="0" outline="0" showAll="0"/>
    <pivotField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dataField="1" compact="0" outline="0" showAll="0"/>
  </pivotFields>
  <rowFields count="1">
    <field x="7"/>
  </rowFields>
  <rowItems count="6">
    <i>
      <x/>
    </i>
    <i>
      <x v="1"/>
    </i>
    <i>
      <x v="2"/>
    </i>
    <i>
      <x v="3"/>
    </i>
    <i>
      <x v="4"/>
    </i>
    <i t="grand">
      <x/>
    </i>
  </rowItems>
  <colItems count="1">
    <i/>
  </colItems>
  <dataFields count="1">
    <dataField name="Sum of Total_Sales" fld="11" baseField="0" baseItem="0"/>
  </dataFields>
  <chartFormats count="12">
    <chartFormat chart="0" format="18"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7" count="1" selected="0">
            <x v="0"/>
          </reference>
        </references>
      </pivotArea>
    </chartFormat>
    <chartFormat chart="0" format="20">
      <pivotArea type="data" outline="0" fieldPosition="0">
        <references count="2">
          <reference field="4294967294" count="1" selected="0">
            <x v="0"/>
          </reference>
          <reference field="7" count="1" selected="0">
            <x v="1"/>
          </reference>
        </references>
      </pivotArea>
    </chartFormat>
    <chartFormat chart="0" format="21">
      <pivotArea type="data" outline="0" fieldPosition="0">
        <references count="2">
          <reference field="4294967294" count="1" selected="0">
            <x v="0"/>
          </reference>
          <reference field="7" count="1" selected="0">
            <x v="2"/>
          </reference>
        </references>
      </pivotArea>
    </chartFormat>
    <chartFormat chart="0" format="22">
      <pivotArea type="data" outline="0" fieldPosition="0">
        <references count="2">
          <reference field="4294967294" count="1" selected="0">
            <x v="0"/>
          </reference>
          <reference field="7" count="1" selected="0">
            <x v="3"/>
          </reference>
        </references>
      </pivotArea>
    </chartFormat>
    <chartFormat chart="0" format="23">
      <pivotArea type="data" outline="0" fieldPosition="0">
        <references count="2">
          <reference field="4294967294" count="1" selected="0">
            <x v="0"/>
          </reference>
          <reference field="7" count="1" selected="0">
            <x v="4"/>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7" count="1" selected="0">
            <x v="0"/>
          </reference>
        </references>
      </pivotArea>
    </chartFormat>
    <chartFormat chart="5" format="32">
      <pivotArea type="data" outline="0" fieldPosition="0">
        <references count="2">
          <reference field="4294967294" count="1" selected="0">
            <x v="0"/>
          </reference>
          <reference field="7" count="1" selected="0">
            <x v="1"/>
          </reference>
        </references>
      </pivotArea>
    </chartFormat>
    <chartFormat chart="5" format="33">
      <pivotArea type="data" outline="0" fieldPosition="0">
        <references count="2">
          <reference field="4294967294" count="1" selected="0">
            <x v="0"/>
          </reference>
          <reference field="7" count="1" selected="0">
            <x v="2"/>
          </reference>
        </references>
      </pivotArea>
    </chartFormat>
    <chartFormat chart="5" format="34">
      <pivotArea type="data" outline="0" fieldPosition="0">
        <references count="2">
          <reference field="4294967294" count="1" selected="0">
            <x v="0"/>
          </reference>
          <reference field="7" count="1" selected="0">
            <x v="3"/>
          </reference>
        </references>
      </pivotArea>
    </chartFormat>
    <chartFormat chart="5" format="3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C9FE44-92F5-41B0-8468-6FCB6126CE2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N24:O31" firstHeaderRow="1" firstDataRow="1" firstDataCol="1"/>
  <pivotFields count="12">
    <pivotField compact="0" outline="0" showAll="0"/>
    <pivotField compact="0" numFmtId="14" outline="0" showAll="0"/>
    <pivotField compact="0" outline="0" showAll="0">
      <items count="11">
        <item x="0"/>
        <item x="1"/>
        <item x="2"/>
        <item x="3"/>
        <item x="4"/>
        <item x="5"/>
        <item x="6"/>
        <item x="7"/>
        <item x="8"/>
        <item x="9"/>
        <item t="default"/>
      </items>
    </pivotField>
    <pivotField compact="0" outline="0" showAll="0">
      <items count="2">
        <item x="0"/>
        <item t="default"/>
      </items>
    </pivotField>
    <pivotField axis="axisRow" compact="0" outline="0" showAll="0" sortType="descending">
      <items count="7">
        <item x="3"/>
        <item x="2"/>
        <item x="1"/>
        <item x="0"/>
        <item x="5"/>
        <item x="4"/>
        <item t="default"/>
      </items>
      <autoSortScope>
        <pivotArea dataOnly="0" outline="0" fieldPosition="0">
          <references count="1">
            <reference field="4294967294" count="1" selected="0">
              <x v="0"/>
            </reference>
          </references>
        </pivotArea>
      </autoSortScope>
    </pivotField>
    <pivotField compact="0" outline="0" showAll="0">
      <items count="11">
        <item x="2"/>
        <item x="7"/>
        <item x="9"/>
        <item x="3"/>
        <item x="8"/>
        <item x="4"/>
        <item x="5"/>
        <item x="0"/>
        <item x="6"/>
        <item x="1"/>
        <item t="default"/>
      </items>
    </pivotField>
    <pivotField compact="0" outline="0" showAll="0">
      <items count="5">
        <item x="0"/>
        <item x="1"/>
        <item x="2"/>
        <item x="3"/>
        <item t="default"/>
      </items>
    </pivotField>
    <pivotField compact="0" outline="0" showAll="0">
      <items count="6">
        <item x="3"/>
        <item x="0"/>
        <item x="1"/>
        <item x="4"/>
        <item x="2"/>
        <item t="default"/>
      </items>
    </pivotField>
    <pivotField compact="0" outline="0" showAll="0"/>
    <pivotField compact="0" outline="0" showAll="0"/>
    <pivotField compact="0" outline="0" showAll="0">
      <items count="27">
        <item x="11"/>
        <item x="5"/>
        <item x="17"/>
        <item x="9"/>
        <item x="3"/>
        <item x="21"/>
        <item x="15"/>
        <item x="23"/>
        <item x="6"/>
        <item x="1"/>
        <item x="12"/>
        <item x="18"/>
        <item x="8"/>
        <item x="2"/>
        <item x="13"/>
        <item x="19"/>
        <item x="25"/>
        <item x="7"/>
        <item x="16"/>
        <item x="0"/>
        <item x="10"/>
        <item x="24"/>
        <item x="4"/>
        <item x="22"/>
        <item x="14"/>
        <item x="20"/>
        <item t="default"/>
      </items>
    </pivotField>
    <pivotField dataField="1" compact="0" outline="0" showAll="0"/>
  </pivotFields>
  <rowFields count="1">
    <field x="4"/>
  </rowFields>
  <rowItems count="7">
    <i>
      <x v="3"/>
    </i>
    <i>
      <x v="2"/>
    </i>
    <i>
      <x v="1"/>
    </i>
    <i>
      <x v="4"/>
    </i>
    <i>
      <x v="5"/>
    </i>
    <i>
      <x/>
    </i>
    <i t="grand">
      <x/>
    </i>
  </rowItems>
  <colItems count="1">
    <i/>
  </colItems>
  <dataFields count="1">
    <dataField name="Sum of Total_Sales" fld="11"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3"/>
          </reference>
        </references>
      </pivotArea>
    </chartFormat>
    <chartFormat chart="3" format="2">
      <pivotArea type="data" outline="0" fieldPosition="0">
        <references count="2">
          <reference field="4294967294" count="1" selected="0">
            <x v="0"/>
          </reference>
          <reference field="4" count="1" selected="0">
            <x v="2"/>
          </reference>
        </references>
      </pivotArea>
    </chartFormat>
    <chartFormat chart="3" format="3">
      <pivotArea type="data" outline="0" fieldPosition="0">
        <references count="2">
          <reference field="4294967294" count="1" selected="0">
            <x v="0"/>
          </reference>
          <reference field="4" count="1" selected="0">
            <x v="4"/>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4" count="1" selected="0">
            <x v="0"/>
          </reference>
        </references>
      </pivotArea>
    </chartFormat>
    <chartFormat chart="8" format="16">
      <pivotArea type="data" outline="0" fieldPosition="0">
        <references count="2">
          <reference field="4294967294" count="1" selected="0">
            <x v="0"/>
          </reference>
          <reference field="4" count="1" selected="0">
            <x v="1"/>
          </reference>
        </references>
      </pivotArea>
    </chartFormat>
    <chartFormat chart="8" format="17">
      <pivotArea type="data" outline="0" fieldPosition="0">
        <references count="2">
          <reference field="4294967294" count="1" selected="0">
            <x v="0"/>
          </reference>
          <reference field="4" count="1" selected="0">
            <x v="2"/>
          </reference>
        </references>
      </pivotArea>
    </chartFormat>
    <chartFormat chart="8" format="18">
      <pivotArea type="data" outline="0" fieldPosition="0">
        <references count="2">
          <reference field="4294967294" count="1" selected="0">
            <x v="0"/>
          </reference>
          <reference field="4" count="1" selected="0">
            <x v="3"/>
          </reference>
        </references>
      </pivotArea>
    </chartFormat>
    <chartFormat chart="8" format="19">
      <pivotArea type="data" outline="0" fieldPosition="0">
        <references count="2">
          <reference field="4294967294" count="1" selected="0">
            <x v="0"/>
          </reference>
          <reference field="4" count="1" selected="0">
            <x v="4"/>
          </reference>
        </references>
      </pivotArea>
    </chartFormat>
    <chartFormat chart="8"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1F4EA2-F9B9-4E2B-A126-38735BAE294D}" sourceName="Product">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74705896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CB1CC0D-F3F1-4438-89F3-DD3BD6554453}" sourceName="Salesperson">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74705896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5016C3-A326-41D1-945A-66BF2DE93447}" sourceName="Country">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747058961">
      <items count="6">
        <i x="3" s="1"/>
        <i x="2" s="1"/>
        <i x="1" s="1"/>
        <i x="0"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7E72C4-DCDA-4F85-B361-6054B997429E}" sourceName="Yea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747058961">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1E82E36-4240-41B4-BA70-668B7A299645}" sourceName="Month">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747058961">
      <items count="10">
        <i x="0" s="1"/>
        <i x="1" s="1"/>
        <i x="2" s="1"/>
        <i x="3" s="1"/>
        <i x="4" s="1"/>
        <i x="5" s="1"/>
        <i x="6" s="1"/>
        <i x="7" s="1"/>
        <i x="8"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5EEE4F9C-A0B6-4917-A16B-3487CB43B89E}" sourceName="Unit_Pric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747058961">
      <items count="26">
        <i x="11" s="1"/>
        <i x="5" s="1"/>
        <i x="17" s="1"/>
        <i x="9" s="1"/>
        <i x="3" s="1"/>
        <i x="21" s="1"/>
        <i x="15" s="1"/>
        <i x="23" s="1"/>
        <i x="6" s="1"/>
        <i x="1" s="1"/>
        <i x="12" s="1"/>
        <i x="18" s="1"/>
        <i x="8" s="1"/>
        <i x="2" s="1"/>
        <i x="13" s="1"/>
        <i x="19" s="1"/>
        <i x="25" s="1"/>
        <i x="7" s="1"/>
        <i x="16" s="1"/>
        <i x="0" s="1"/>
        <i x="10" s="1"/>
        <i x="24" s="1"/>
        <i x="4" s="1"/>
        <i x="22" s="1"/>
        <i x="14" s="1"/>
        <i x="2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D643A29-3005-4887-8942-10CC00937D85}" sourceName="City">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747058961">
      <items count="10">
        <i x="2" s="1"/>
        <i x="7" s="1"/>
        <i x="9" s="1"/>
        <i x="3" s="1"/>
        <i x="8" s="1"/>
        <i x="4" s="1"/>
        <i x="5" s="1"/>
        <i x="0" s="1"/>
        <i x="6"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7C35859-7387-49B6-889A-07890653955A}" sourceName="Category">
  <pivotTables>
    <pivotTable tabId="2" name="PivotTable7"/>
  </pivotTables>
  <data>
    <tabular pivotCacheId="7470589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F022F34-B428-400F-B109-CBBF41BA089B}" cache="Slicer_Product" caption="Product" rowHeight="251883"/>
  <slicer name="Salesperson" xr10:uid="{653D5A73-2E12-4714-806D-4C5781D2ACBB}" cache="Slicer_Salesperson" caption="Salesperson" rowHeight="251883"/>
  <slicer name="Country" xr10:uid="{77C507C7-DE4F-40F7-8100-2C9A494C56D2}" cache="Slicer_Country" caption="Country" rowHeight="251883"/>
  <slicer name="Year" xr10:uid="{DB60AE49-1FDB-41AC-B3CF-15DB96C39E86}" cache="Slicer_Year" caption="Year" rowHeight="251883"/>
  <slicer name="Month" xr10:uid="{84F4F0EF-E302-4779-BDB1-6CBC45D089A8}" cache="Slicer_Month" caption="Month" rowHeight="251883"/>
  <slicer name="Unit_Price" xr10:uid="{EEDE5170-2CE1-4D43-82AE-948BD3BEE410}" cache="Slicer_Unit_Price" caption="Unit_Price" rowHeight="251883"/>
  <slicer name="City" xr10:uid="{36E0469C-9916-44D6-8CAC-A7AC04C6CFFE}" cache="Slicer_City" caption="City" rowHeight="251883"/>
  <slicer name="Category" xr10:uid="{4839BC2B-BB3B-41FF-B54B-246F21E52EC2}"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7F74EF-8264-4603-9956-C722525BD466}" name="Table2" displayName="Table2" ref="A1:L32" totalsRowCount="1">
  <autoFilter ref="A1:L31" xr:uid="{077F74EF-8264-4603-9956-C722525BD466}"/>
  <tableColumns count="12">
    <tableColumn id="1" xr3:uid="{F829A79E-CB01-461B-8B36-7BE5A01D6735}" name="Order_ID" totalsRowLabel="Total"/>
    <tableColumn id="2" xr3:uid="{9EF6ABA2-CA04-46CF-83A6-DB6772807269}" name="Date" dataDxfId="49"/>
    <tableColumn id="3" xr3:uid="{C9A9425E-040B-41A9-9D91-1D3357C970B2}" name="Month"/>
    <tableColumn id="4" xr3:uid="{5A067DA4-2779-45C8-925E-92E29135C0BF}" name="Year"/>
    <tableColumn id="5" xr3:uid="{077D4F7F-166F-41EF-BE61-E2351B3D1300}" name="Country"/>
    <tableColumn id="6" xr3:uid="{C8D1F5A3-7388-4486-8C11-69029F8D676C}" name="City"/>
    <tableColumn id="7" xr3:uid="{62CC778F-A876-4628-9AFC-8B52133399AE}" name="Salesperson"/>
    <tableColumn id="8" xr3:uid="{B2C988D1-DD43-4C27-8F2F-DC4BCCB55B3B}" name="Product"/>
    <tableColumn id="9" xr3:uid="{49B38505-179F-49E5-948E-5C089156AA59}" name="Category"/>
    <tableColumn id="10" xr3:uid="{B1C52635-A2EA-4D72-A32A-058D96E4335B}" name="Quantity"/>
    <tableColumn id="11" xr3:uid="{87E434CA-CEF0-470A-BB6A-FA977839295D}" name="Unit_Price"/>
    <tableColumn id="12" xr3:uid="{5240C1C3-B529-4119-AC20-9E8417E124FF}" name="Total_Sales"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896CC-A089-43E7-ACEC-D57DDA67D5C3}" name="Table22" displayName="Table22" ref="A1:L32" totalsRowCount="1">
  <autoFilter ref="A1:L31" xr:uid="{DA0896CC-A089-43E7-ACEC-D57DDA67D5C3}"/>
  <tableColumns count="12">
    <tableColumn id="1" xr3:uid="{A20BAB45-7501-4B30-88A6-6DE12C93BED4}" name="Order_ID" totalsRowLabel="Total"/>
    <tableColumn id="2" xr3:uid="{1E10C15D-6B3D-4648-BE4C-618CFDEE1ECA}" name="Date" dataDxfId="48"/>
    <tableColumn id="3" xr3:uid="{907EA729-1DE8-4766-8955-8FC47C8E160F}" name="Month"/>
    <tableColumn id="4" xr3:uid="{95A6960E-CBA0-46A6-AACF-D12515D1F06B}" name="Year"/>
    <tableColumn id="5" xr3:uid="{532036CA-94CC-4BBB-AEE4-21D64CCE0970}" name="Country"/>
    <tableColumn id="6" xr3:uid="{2AD92F8A-F464-44F4-834C-1176D19004D7}" name="City"/>
    <tableColumn id="7" xr3:uid="{7483069D-A1D7-440F-9094-7A305C06EDCD}" name="Salesperson"/>
    <tableColumn id="8" xr3:uid="{6863E8B0-801A-4B30-85BB-A598FE4F6AC5}" name="Product"/>
    <tableColumn id="9" xr3:uid="{A04950C9-DD40-4F5F-AF6B-A32A26E91CB7}" name="Category"/>
    <tableColumn id="10" xr3:uid="{A9672FD8-DCD3-4561-A095-F817272CF0A2}" name="Quantity"/>
    <tableColumn id="11" xr3:uid="{D2D8DF08-1683-4B12-8716-9BE7F5C519DF}" name="Unit_Price"/>
    <tableColumn id="12" xr3:uid="{36B3B050-09C4-4EA7-9F5B-5AACE5C77D1E}" name="Total_Sales"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4060-6F40-43ED-AAAB-6A935A48EEF4}">
  <dimension ref="A1:AH46"/>
  <sheetViews>
    <sheetView topLeftCell="S1" workbookViewId="0">
      <selection activeCell="G20" sqref="G20"/>
    </sheetView>
  </sheetViews>
  <sheetFormatPr defaultRowHeight="14.5" x14ac:dyDescent="0.35"/>
  <cols>
    <col min="1" max="1" width="10.08984375" customWidth="1"/>
    <col min="2" max="2" width="11.90625" customWidth="1"/>
    <col min="4" max="4" width="6.54296875" customWidth="1"/>
    <col min="5" max="5" width="9.453125" customWidth="1"/>
    <col min="6" max="6" width="12.1796875" customWidth="1"/>
    <col min="7" max="7" width="13.08984375" customWidth="1"/>
    <col min="8" max="8" width="9.36328125" customWidth="1"/>
    <col min="9" max="9" width="10.1796875" customWidth="1"/>
    <col min="10" max="10" width="10" customWidth="1"/>
    <col min="11" max="11" width="11.453125" customWidth="1"/>
    <col min="12" max="12" width="12.26953125" customWidth="1"/>
    <col min="14" max="14" width="10.36328125" bestFit="1" customWidth="1"/>
    <col min="15" max="15" width="16.54296875" bestFit="1" customWidth="1"/>
    <col min="25" max="25" width="13.36328125" bestFit="1" customWidth="1"/>
    <col min="26" max="26" width="14.26953125" bestFit="1" customWidth="1"/>
    <col min="34" max="35" width="16.54296875" bestFit="1" customWidth="1"/>
  </cols>
  <sheetData>
    <row r="1" spans="1:34" x14ac:dyDescent="0.35">
      <c r="A1" t="s">
        <v>0</v>
      </c>
      <c r="B1" t="s">
        <v>1</v>
      </c>
      <c r="C1" t="s">
        <v>38</v>
      </c>
      <c r="D1" t="s">
        <v>39</v>
      </c>
      <c r="E1" t="s">
        <v>2</v>
      </c>
      <c r="F1" t="s">
        <v>3</v>
      </c>
      <c r="G1" t="s">
        <v>8</v>
      </c>
      <c r="H1" t="s">
        <v>4</v>
      </c>
      <c r="I1" t="s">
        <v>5</v>
      </c>
      <c r="J1" t="s">
        <v>6</v>
      </c>
      <c r="K1" t="s">
        <v>7</v>
      </c>
      <c r="L1" t="s">
        <v>37</v>
      </c>
    </row>
    <row r="2" spans="1:34" x14ac:dyDescent="0.35">
      <c r="A2">
        <v>1001</v>
      </c>
      <c r="B2" s="1">
        <v>45665</v>
      </c>
      <c r="C2" t="s">
        <v>40</v>
      </c>
      <c r="D2">
        <v>2025</v>
      </c>
      <c r="E2" t="s">
        <v>9</v>
      </c>
      <c r="F2" t="s">
        <v>10</v>
      </c>
      <c r="G2" t="s">
        <v>23</v>
      </c>
      <c r="H2" t="s">
        <v>11</v>
      </c>
      <c r="I2" t="s">
        <v>12</v>
      </c>
      <c r="J2">
        <v>2</v>
      </c>
      <c r="K2">
        <v>700</v>
      </c>
      <c r="L2">
        <v>1400</v>
      </c>
      <c r="Y2" s="2" t="s">
        <v>3</v>
      </c>
      <c r="Z2" t="s">
        <v>52</v>
      </c>
    </row>
    <row r="3" spans="1:34" x14ac:dyDescent="0.35">
      <c r="A3">
        <v>1002</v>
      </c>
      <c r="B3" s="1">
        <v>45672</v>
      </c>
      <c r="C3" t="s">
        <v>40</v>
      </c>
      <c r="D3">
        <v>2025</v>
      </c>
      <c r="E3" t="s">
        <v>24</v>
      </c>
      <c r="F3" t="s">
        <v>25</v>
      </c>
      <c r="G3" t="s">
        <v>26</v>
      </c>
      <c r="H3" t="s">
        <v>19</v>
      </c>
      <c r="I3" t="s">
        <v>12</v>
      </c>
      <c r="J3">
        <v>3</v>
      </c>
      <c r="K3">
        <v>230</v>
      </c>
      <c r="L3">
        <v>690</v>
      </c>
      <c r="N3" s="2" t="s">
        <v>4</v>
      </c>
      <c r="O3" t="s">
        <v>52</v>
      </c>
      <c r="Y3" t="s">
        <v>10</v>
      </c>
      <c r="Z3" s="4">
        <v>6220</v>
      </c>
      <c r="AH3" t="s">
        <v>52</v>
      </c>
    </row>
    <row r="4" spans="1:34" x14ac:dyDescent="0.35">
      <c r="A4">
        <v>1003</v>
      </c>
      <c r="B4" s="1">
        <v>45684</v>
      </c>
      <c r="C4" t="s">
        <v>40</v>
      </c>
      <c r="D4">
        <v>2025</v>
      </c>
      <c r="E4" t="s">
        <v>27</v>
      </c>
      <c r="F4" t="s">
        <v>28</v>
      </c>
      <c r="G4" t="s">
        <v>18</v>
      </c>
      <c r="H4" t="s">
        <v>21</v>
      </c>
      <c r="I4" t="s">
        <v>22</v>
      </c>
      <c r="J4">
        <v>2</v>
      </c>
      <c r="K4">
        <v>250</v>
      </c>
      <c r="L4">
        <v>500</v>
      </c>
      <c r="N4" t="s">
        <v>17</v>
      </c>
      <c r="O4" s="4">
        <v>1093</v>
      </c>
      <c r="Y4" t="s">
        <v>25</v>
      </c>
      <c r="Z4" s="4">
        <v>3954</v>
      </c>
      <c r="AH4" s="5">
        <v>26834</v>
      </c>
    </row>
    <row r="5" spans="1:34" x14ac:dyDescent="0.35">
      <c r="A5">
        <v>1004</v>
      </c>
      <c r="B5" s="1">
        <v>45694</v>
      </c>
      <c r="C5" t="s">
        <v>41</v>
      </c>
      <c r="D5">
        <v>2025</v>
      </c>
      <c r="E5" t="s">
        <v>29</v>
      </c>
      <c r="F5" t="s">
        <v>30</v>
      </c>
      <c r="G5" t="s">
        <v>20</v>
      </c>
      <c r="H5" t="s">
        <v>17</v>
      </c>
      <c r="I5" t="s">
        <v>15</v>
      </c>
      <c r="J5">
        <v>5</v>
      </c>
      <c r="K5">
        <v>30</v>
      </c>
      <c r="L5">
        <v>150</v>
      </c>
      <c r="N5" t="s">
        <v>11</v>
      </c>
      <c r="O5" s="4">
        <v>14215</v>
      </c>
      <c r="Y5" t="s">
        <v>35</v>
      </c>
      <c r="Z5" s="4">
        <v>3439</v>
      </c>
    </row>
    <row r="6" spans="1:34" x14ac:dyDescent="0.35">
      <c r="A6">
        <v>1005</v>
      </c>
      <c r="B6" s="1">
        <v>45706</v>
      </c>
      <c r="C6" t="s">
        <v>41</v>
      </c>
      <c r="D6">
        <v>2025</v>
      </c>
      <c r="E6" t="s">
        <v>9</v>
      </c>
      <c r="F6" t="s">
        <v>13</v>
      </c>
      <c r="G6" t="s">
        <v>23</v>
      </c>
      <c r="H6" t="s">
        <v>11</v>
      </c>
      <c r="I6" t="s">
        <v>12</v>
      </c>
      <c r="J6">
        <v>1</v>
      </c>
      <c r="K6">
        <v>720</v>
      </c>
      <c r="L6">
        <v>720</v>
      </c>
      <c r="N6" t="s">
        <v>19</v>
      </c>
      <c r="O6" s="4">
        <v>5560</v>
      </c>
      <c r="Y6" t="s">
        <v>28</v>
      </c>
      <c r="Z6" s="4">
        <v>3305</v>
      </c>
    </row>
    <row r="7" spans="1:34" x14ac:dyDescent="0.35">
      <c r="A7">
        <v>1006</v>
      </c>
      <c r="B7" s="1">
        <v>45713</v>
      </c>
      <c r="C7" t="s">
        <v>41</v>
      </c>
      <c r="D7">
        <v>2025</v>
      </c>
      <c r="E7" t="s">
        <v>32</v>
      </c>
      <c r="F7" t="s">
        <v>33</v>
      </c>
      <c r="G7" t="s">
        <v>26</v>
      </c>
      <c r="H7" t="s">
        <v>14</v>
      </c>
      <c r="I7" t="s">
        <v>15</v>
      </c>
      <c r="J7">
        <v>8</v>
      </c>
      <c r="K7">
        <v>18</v>
      </c>
      <c r="L7">
        <v>144</v>
      </c>
      <c r="N7" t="s">
        <v>14</v>
      </c>
      <c r="O7" s="4">
        <v>616</v>
      </c>
      <c r="Y7" t="s">
        <v>33</v>
      </c>
      <c r="Z7" s="4">
        <v>2309</v>
      </c>
    </row>
    <row r="8" spans="1:34" x14ac:dyDescent="0.35">
      <c r="A8">
        <v>1007</v>
      </c>
      <c r="B8" s="1">
        <v>45721</v>
      </c>
      <c r="C8" t="s">
        <v>42</v>
      </c>
      <c r="D8">
        <v>2025</v>
      </c>
      <c r="E8" t="s">
        <v>24</v>
      </c>
      <c r="F8" t="s">
        <v>31</v>
      </c>
      <c r="G8" t="s">
        <v>18</v>
      </c>
      <c r="H8" t="s">
        <v>19</v>
      </c>
      <c r="I8" t="s">
        <v>12</v>
      </c>
      <c r="J8">
        <v>4</v>
      </c>
      <c r="K8">
        <v>225</v>
      </c>
      <c r="L8">
        <v>900</v>
      </c>
      <c r="N8" t="s">
        <v>21</v>
      </c>
      <c r="O8" s="4">
        <v>5350</v>
      </c>
      <c r="Y8" t="s">
        <v>16</v>
      </c>
      <c r="Z8" s="4">
        <v>1985</v>
      </c>
    </row>
    <row r="9" spans="1:34" x14ac:dyDescent="0.35">
      <c r="A9">
        <v>1008</v>
      </c>
      <c r="B9" s="1">
        <v>45732</v>
      </c>
      <c r="C9" t="s">
        <v>42</v>
      </c>
      <c r="D9">
        <v>2025</v>
      </c>
      <c r="E9" t="s">
        <v>34</v>
      </c>
      <c r="F9" t="s">
        <v>35</v>
      </c>
      <c r="G9" t="s">
        <v>20</v>
      </c>
      <c r="H9" t="s">
        <v>11</v>
      </c>
      <c r="I9" t="s">
        <v>12</v>
      </c>
      <c r="J9">
        <v>2</v>
      </c>
      <c r="K9">
        <v>680</v>
      </c>
      <c r="L9">
        <v>1360</v>
      </c>
      <c r="N9" t="s">
        <v>51</v>
      </c>
      <c r="O9" s="4">
        <v>26834</v>
      </c>
      <c r="Y9" t="s">
        <v>31</v>
      </c>
      <c r="Z9" s="4">
        <v>1940</v>
      </c>
    </row>
    <row r="10" spans="1:34" x14ac:dyDescent="0.35">
      <c r="A10">
        <v>1009</v>
      </c>
      <c r="B10" s="1">
        <v>45744</v>
      </c>
      <c r="C10" t="s">
        <v>42</v>
      </c>
      <c r="D10">
        <v>2025</v>
      </c>
      <c r="E10" t="s">
        <v>9</v>
      </c>
      <c r="F10" t="s">
        <v>16</v>
      </c>
      <c r="G10" t="s">
        <v>23</v>
      </c>
      <c r="H10" t="s">
        <v>21</v>
      </c>
      <c r="I10" t="s">
        <v>22</v>
      </c>
      <c r="J10">
        <v>3</v>
      </c>
      <c r="K10">
        <v>245</v>
      </c>
      <c r="L10">
        <v>735</v>
      </c>
      <c r="Y10" t="s">
        <v>30</v>
      </c>
      <c r="Z10" s="4">
        <v>1392</v>
      </c>
    </row>
    <row r="11" spans="1:34" x14ac:dyDescent="0.35">
      <c r="A11">
        <v>1010</v>
      </c>
      <c r="B11" s="1">
        <v>45754</v>
      </c>
      <c r="C11" t="s">
        <v>43</v>
      </c>
      <c r="D11">
        <v>2025</v>
      </c>
      <c r="E11" t="s">
        <v>27</v>
      </c>
      <c r="F11" t="s">
        <v>36</v>
      </c>
      <c r="G11" t="s">
        <v>26</v>
      </c>
      <c r="H11" t="s">
        <v>17</v>
      </c>
      <c r="I11" t="s">
        <v>15</v>
      </c>
      <c r="J11">
        <v>10</v>
      </c>
      <c r="K11">
        <v>28</v>
      </c>
      <c r="L11">
        <v>280</v>
      </c>
      <c r="Y11" t="s">
        <v>36</v>
      </c>
      <c r="Z11" s="4">
        <v>1380</v>
      </c>
    </row>
    <row r="12" spans="1:34" x14ac:dyDescent="0.35">
      <c r="A12">
        <v>1011</v>
      </c>
      <c r="B12" s="1">
        <v>45766</v>
      </c>
      <c r="C12" t="s">
        <v>43</v>
      </c>
      <c r="D12">
        <v>2025</v>
      </c>
      <c r="E12" t="s">
        <v>24</v>
      </c>
      <c r="F12" t="s">
        <v>25</v>
      </c>
      <c r="G12" t="s">
        <v>18</v>
      </c>
      <c r="H12" t="s">
        <v>11</v>
      </c>
      <c r="I12" t="s">
        <v>12</v>
      </c>
      <c r="J12">
        <v>2</v>
      </c>
      <c r="K12">
        <v>710</v>
      </c>
      <c r="L12">
        <v>1420</v>
      </c>
      <c r="Y12" t="s">
        <v>13</v>
      </c>
      <c r="Z12" s="4">
        <v>910</v>
      </c>
    </row>
    <row r="13" spans="1:34" x14ac:dyDescent="0.35">
      <c r="A13">
        <v>1012</v>
      </c>
      <c r="B13" s="1">
        <v>45773</v>
      </c>
      <c r="C13" t="s">
        <v>43</v>
      </c>
      <c r="D13">
        <v>2025</v>
      </c>
      <c r="E13" t="s">
        <v>29</v>
      </c>
      <c r="F13" t="s">
        <v>30</v>
      </c>
      <c r="G13" t="s">
        <v>20</v>
      </c>
      <c r="H13" t="s">
        <v>14</v>
      </c>
      <c r="I13" t="s">
        <v>15</v>
      </c>
      <c r="J13">
        <v>6</v>
      </c>
      <c r="K13">
        <v>17</v>
      </c>
      <c r="L13">
        <v>102</v>
      </c>
      <c r="Y13" t="s">
        <v>51</v>
      </c>
      <c r="Z13" s="4">
        <v>26834</v>
      </c>
    </row>
    <row r="14" spans="1:34" x14ac:dyDescent="0.35">
      <c r="A14">
        <v>1013</v>
      </c>
      <c r="B14" s="1">
        <v>45781</v>
      </c>
      <c r="C14" t="s">
        <v>44</v>
      </c>
      <c r="D14">
        <v>2025</v>
      </c>
      <c r="E14" t="s">
        <v>9</v>
      </c>
      <c r="F14" t="s">
        <v>10</v>
      </c>
      <c r="G14" t="s">
        <v>23</v>
      </c>
      <c r="H14" t="s">
        <v>19</v>
      </c>
      <c r="I14" t="s">
        <v>12</v>
      </c>
      <c r="J14">
        <v>5</v>
      </c>
      <c r="K14">
        <v>235</v>
      </c>
      <c r="L14">
        <v>1175</v>
      </c>
      <c r="N14" s="2" t="s">
        <v>8</v>
      </c>
      <c r="O14" t="s">
        <v>52</v>
      </c>
    </row>
    <row r="15" spans="1:34" x14ac:dyDescent="0.35">
      <c r="A15">
        <v>1014</v>
      </c>
      <c r="B15" s="1">
        <v>45791</v>
      </c>
      <c r="C15" t="s">
        <v>44</v>
      </c>
      <c r="D15">
        <v>2025</v>
      </c>
      <c r="E15" t="s">
        <v>32</v>
      </c>
      <c r="F15" t="s">
        <v>33</v>
      </c>
      <c r="G15" t="s">
        <v>26</v>
      </c>
      <c r="H15" t="s">
        <v>21</v>
      </c>
      <c r="I15" t="s">
        <v>22</v>
      </c>
      <c r="J15">
        <v>3</v>
      </c>
      <c r="K15">
        <v>255</v>
      </c>
      <c r="L15">
        <v>765</v>
      </c>
      <c r="N15" t="s">
        <v>23</v>
      </c>
      <c r="O15" s="4">
        <v>10995</v>
      </c>
    </row>
    <row r="16" spans="1:34" x14ac:dyDescent="0.35">
      <c r="A16">
        <v>1015</v>
      </c>
      <c r="B16" s="1">
        <v>45806</v>
      </c>
      <c r="C16" t="s">
        <v>44</v>
      </c>
      <c r="D16">
        <v>2025</v>
      </c>
      <c r="E16" t="s">
        <v>34</v>
      </c>
      <c r="F16" t="s">
        <v>35</v>
      </c>
      <c r="G16" t="s">
        <v>18</v>
      </c>
      <c r="H16" t="s">
        <v>11</v>
      </c>
      <c r="I16" t="s">
        <v>12</v>
      </c>
      <c r="J16">
        <v>1</v>
      </c>
      <c r="K16">
        <v>740</v>
      </c>
      <c r="L16">
        <v>740</v>
      </c>
      <c r="N16" t="s">
        <v>20</v>
      </c>
      <c r="O16" s="4">
        <v>5536</v>
      </c>
    </row>
    <row r="17" spans="1:26" x14ac:dyDescent="0.35">
      <c r="A17">
        <v>1016</v>
      </c>
      <c r="B17" s="1">
        <v>45816</v>
      </c>
      <c r="C17" t="s">
        <v>45</v>
      </c>
      <c r="D17">
        <v>2025</v>
      </c>
      <c r="E17" t="s">
        <v>24</v>
      </c>
      <c r="F17" t="s">
        <v>25</v>
      </c>
      <c r="G17" t="s">
        <v>20</v>
      </c>
      <c r="H17" t="s">
        <v>17</v>
      </c>
      <c r="I17" t="s">
        <v>15</v>
      </c>
      <c r="J17">
        <v>12</v>
      </c>
      <c r="K17">
        <v>32</v>
      </c>
      <c r="L17">
        <v>384</v>
      </c>
      <c r="N17" t="s">
        <v>18</v>
      </c>
      <c r="O17" s="4">
        <v>5435</v>
      </c>
    </row>
    <row r="18" spans="1:26" x14ac:dyDescent="0.35">
      <c r="A18">
        <v>1017</v>
      </c>
      <c r="B18" s="1">
        <v>45825</v>
      </c>
      <c r="C18" t="s">
        <v>45</v>
      </c>
      <c r="D18">
        <v>2025</v>
      </c>
      <c r="E18" t="s">
        <v>27</v>
      </c>
      <c r="F18" t="s">
        <v>28</v>
      </c>
      <c r="G18" t="s">
        <v>23</v>
      </c>
      <c r="H18" t="s">
        <v>11</v>
      </c>
      <c r="I18" t="s">
        <v>12</v>
      </c>
      <c r="J18">
        <v>3</v>
      </c>
      <c r="K18">
        <v>690</v>
      </c>
      <c r="L18">
        <v>2070</v>
      </c>
      <c r="N18" t="s">
        <v>26</v>
      </c>
      <c r="O18" s="4">
        <v>4868</v>
      </c>
      <c r="Y18" s="2" t="s">
        <v>4</v>
      </c>
      <c r="Z18" t="s">
        <v>53</v>
      </c>
    </row>
    <row r="19" spans="1:26" x14ac:dyDescent="0.35">
      <c r="A19">
        <v>1018</v>
      </c>
      <c r="B19" s="1">
        <v>45833</v>
      </c>
      <c r="C19" t="s">
        <v>45</v>
      </c>
      <c r="D19">
        <v>2025</v>
      </c>
      <c r="E19" t="s">
        <v>9</v>
      </c>
      <c r="F19" t="s">
        <v>13</v>
      </c>
      <c r="G19" t="s">
        <v>26</v>
      </c>
      <c r="H19" t="s">
        <v>14</v>
      </c>
      <c r="I19" t="s">
        <v>15</v>
      </c>
      <c r="J19">
        <v>10</v>
      </c>
      <c r="K19">
        <v>19</v>
      </c>
      <c r="L19">
        <v>190</v>
      </c>
      <c r="N19" t="s">
        <v>51</v>
      </c>
      <c r="O19" s="4">
        <v>26834</v>
      </c>
      <c r="Y19" t="s">
        <v>17</v>
      </c>
      <c r="Z19" s="4">
        <v>36</v>
      </c>
    </row>
    <row r="20" spans="1:26" x14ac:dyDescent="0.35">
      <c r="A20">
        <v>1019</v>
      </c>
      <c r="B20" s="1">
        <v>45844</v>
      </c>
      <c r="C20" t="s">
        <v>46</v>
      </c>
      <c r="D20">
        <v>2025</v>
      </c>
      <c r="E20" t="s">
        <v>29</v>
      </c>
      <c r="F20" t="s">
        <v>30</v>
      </c>
      <c r="G20" t="s">
        <v>18</v>
      </c>
      <c r="H20" t="s">
        <v>19</v>
      </c>
      <c r="I20" t="s">
        <v>12</v>
      </c>
      <c r="J20">
        <v>4</v>
      </c>
      <c r="K20">
        <v>240</v>
      </c>
      <c r="L20">
        <v>960</v>
      </c>
      <c r="Y20" t="s">
        <v>11</v>
      </c>
      <c r="Z20" s="4">
        <v>20</v>
      </c>
    </row>
    <row r="21" spans="1:26" x14ac:dyDescent="0.35">
      <c r="A21">
        <v>1020</v>
      </c>
      <c r="B21" s="1">
        <v>45853</v>
      </c>
      <c r="C21" t="s">
        <v>46</v>
      </c>
      <c r="D21">
        <v>2025</v>
      </c>
      <c r="E21" t="s">
        <v>24</v>
      </c>
      <c r="F21" t="s">
        <v>31</v>
      </c>
      <c r="G21" t="s">
        <v>20</v>
      </c>
      <c r="H21" t="s">
        <v>21</v>
      </c>
      <c r="I21" t="s">
        <v>22</v>
      </c>
      <c r="J21">
        <v>4</v>
      </c>
      <c r="K21">
        <v>260</v>
      </c>
      <c r="L21">
        <v>1040</v>
      </c>
      <c r="Y21" t="s">
        <v>19</v>
      </c>
      <c r="Z21" s="4">
        <v>24</v>
      </c>
    </row>
    <row r="22" spans="1:26" x14ac:dyDescent="0.35">
      <c r="A22">
        <v>1021</v>
      </c>
      <c r="B22" s="1">
        <v>45865</v>
      </c>
      <c r="C22" t="s">
        <v>46</v>
      </c>
      <c r="D22">
        <v>2025</v>
      </c>
      <c r="E22" t="s">
        <v>9</v>
      </c>
      <c r="F22" t="s">
        <v>10</v>
      </c>
      <c r="G22" t="s">
        <v>23</v>
      </c>
      <c r="H22" t="s">
        <v>11</v>
      </c>
      <c r="I22" t="s">
        <v>12</v>
      </c>
      <c r="J22">
        <v>2</v>
      </c>
      <c r="K22">
        <v>750</v>
      </c>
      <c r="L22">
        <v>1500</v>
      </c>
      <c r="Y22" t="s">
        <v>14</v>
      </c>
      <c r="Z22" s="4">
        <v>34</v>
      </c>
    </row>
    <row r="23" spans="1:26" x14ac:dyDescent="0.35">
      <c r="A23">
        <v>1022</v>
      </c>
      <c r="B23" s="1">
        <v>45874</v>
      </c>
      <c r="C23" t="s">
        <v>47</v>
      </c>
      <c r="D23">
        <v>2025</v>
      </c>
      <c r="E23" t="s">
        <v>34</v>
      </c>
      <c r="F23" t="s">
        <v>35</v>
      </c>
      <c r="G23" t="s">
        <v>26</v>
      </c>
      <c r="H23" t="s">
        <v>17</v>
      </c>
      <c r="I23" t="s">
        <v>15</v>
      </c>
      <c r="J23">
        <v>9</v>
      </c>
      <c r="K23">
        <v>31</v>
      </c>
      <c r="L23">
        <v>279</v>
      </c>
      <c r="Y23" t="s">
        <v>21</v>
      </c>
      <c r="Z23" s="4">
        <v>21</v>
      </c>
    </row>
    <row r="24" spans="1:26" x14ac:dyDescent="0.35">
      <c r="A24">
        <v>1023</v>
      </c>
      <c r="B24" s="1">
        <v>45887</v>
      </c>
      <c r="C24" t="s">
        <v>47</v>
      </c>
      <c r="D24">
        <v>2025</v>
      </c>
      <c r="E24" t="s">
        <v>27</v>
      </c>
      <c r="F24" t="s">
        <v>28</v>
      </c>
      <c r="G24" t="s">
        <v>18</v>
      </c>
      <c r="H24" t="s">
        <v>19</v>
      </c>
      <c r="I24" t="s">
        <v>12</v>
      </c>
      <c r="J24">
        <v>3</v>
      </c>
      <c r="K24">
        <v>245</v>
      </c>
      <c r="L24">
        <v>735</v>
      </c>
      <c r="N24" s="2" t="s">
        <v>2</v>
      </c>
      <c r="O24" t="s">
        <v>52</v>
      </c>
      <c r="Y24" t="s">
        <v>51</v>
      </c>
      <c r="Z24" s="4">
        <v>135</v>
      </c>
    </row>
    <row r="25" spans="1:26" x14ac:dyDescent="0.35">
      <c r="A25">
        <v>1024</v>
      </c>
      <c r="B25" s="1">
        <v>45895</v>
      </c>
      <c r="C25" t="s">
        <v>47</v>
      </c>
      <c r="D25">
        <v>2025</v>
      </c>
      <c r="E25" t="s">
        <v>32</v>
      </c>
      <c r="F25" t="s">
        <v>33</v>
      </c>
      <c r="G25" t="s">
        <v>20</v>
      </c>
      <c r="H25" t="s">
        <v>11</v>
      </c>
      <c r="I25" t="s">
        <v>12</v>
      </c>
      <c r="J25">
        <v>2</v>
      </c>
      <c r="K25">
        <v>700</v>
      </c>
      <c r="L25">
        <v>1400</v>
      </c>
      <c r="N25" t="s">
        <v>9</v>
      </c>
      <c r="O25" s="4">
        <v>9115</v>
      </c>
    </row>
    <row r="26" spans="1:26" x14ac:dyDescent="0.35">
      <c r="A26">
        <v>1025</v>
      </c>
      <c r="B26" s="1">
        <v>45907</v>
      </c>
      <c r="C26" t="s">
        <v>48</v>
      </c>
      <c r="D26">
        <v>2025</v>
      </c>
      <c r="E26" t="s">
        <v>9</v>
      </c>
      <c r="F26" t="s">
        <v>16</v>
      </c>
      <c r="G26" t="s">
        <v>23</v>
      </c>
      <c r="H26" t="s">
        <v>21</v>
      </c>
      <c r="I26" t="s">
        <v>22</v>
      </c>
      <c r="J26">
        <v>5</v>
      </c>
      <c r="K26">
        <v>250</v>
      </c>
      <c r="L26">
        <v>1250</v>
      </c>
      <c r="N26" t="s">
        <v>24</v>
      </c>
      <c r="O26" s="4">
        <v>5894</v>
      </c>
    </row>
    <row r="27" spans="1:26" x14ac:dyDescent="0.35">
      <c r="A27">
        <v>1026</v>
      </c>
      <c r="B27" s="1">
        <v>45916</v>
      </c>
      <c r="C27" t="s">
        <v>48</v>
      </c>
      <c r="D27">
        <v>2025</v>
      </c>
      <c r="E27" t="s">
        <v>24</v>
      </c>
      <c r="F27" t="s">
        <v>25</v>
      </c>
      <c r="G27" t="s">
        <v>26</v>
      </c>
      <c r="H27" t="s">
        <v>11</v>
      </c>
      <c r="I27" t="s">
        <v>12</v>
      </c>
      <c r="J27">
        <v>2</v>
      </c>
      <c r="K27">
        <v>730</v>
      </c>
      <c r="L27">
        <v>1460</v>
      </c>
      <c r="N27" t="s">
        <v>27</v>
      </c>
      <c r="O27" s="4">
        <v>4685</v>
      </c>
    </row>
    <row r="28" spans="1:26" x14ac:dyDescent="0.35">
      <c r="A28">
        <v>1027</v>
      </c>
      <c r="B28" s="1">
        <v>45928</v>
      </c>
      <c r="C28" t="s">
        <v>48</v>
      </c>
      <c r="D28">
        <v>2025</v>
      </c>
      <c r="E28" t="s">
        <v>29</v>
      </c>
      <c r="F28" t="s">
        <v>30</v>
      </c>
      <c r="G28" t="s">
        <v>18</v>
      </c>
      <c r="H28" t="s">
        <v>14</v>
      </c>
      <c r="I28" t="s">
        <v>15</v>
      </c>
      <c r="J28">
        <v>10</v>
      </c>
      <c r="K28">
        <v>18</v>
      </c>
      <c r="L28">
        <v>180</v>
      </c>
      <c r="N28" t="s">
        <v>34</v>
      </c>
      <c r="O28" s="4">
        <v>3439</v>
      </c>
    </row>
    <row r="29" spans="1:26" x14ac:dyDescent="0.35">
      <c r="A29">
        <v>1028</v>
      </c>
      <c r="B29" s="1">
        <v>45939</v>
      </c>
      <c r="C29" t="s">
        <v>49</v>
      </c>
      <c r="D29">
        <v>2025</v>
      </c>
      <c r="E29" t="s">
        <v>27</v>
      </c>
      <c r="F29" t="s">
        <v>36</v>
      </c>
      <c r="G29" t="s">
        <v>20</v>
      </c>
      <c r="H29" t="s">
        <v>19</v>
      </c>
      <c r="I29" t="s">
        <v>12</v>
      </c>
      <c r="J29">
        <v>5</v>
      </c>
      <c r="K29">
        <v>220</v>
      </c>
      <c r="L29">
        <v>1100</v>
      </c>
      <c r="N29" t="s">
        <v>32</v>
      </c>
      <c r="O29" s="4">
        <v>2309</v>
      </c>
    </row>
    <row r="30" spans="1:26" x14ac:dyDescent="0.35">
      <c r="A30">
        <v>1029</v>
      </c>
      <c r="B30" s="1">
        <v>45947</v>
      </c>
      <c r="C30" t="s">
        <v>49</v>
      </c>
      <c r="D30">
        <v>2025</v>
      </c>
      <c r="E30" t="s">
        <v>9</v>
      </c>
      <c r="F30" t="s">
        <v>10</v>
      </c>
      <c r="G30" t="s">
        <v>23</v>
      </c>
      <c r="H30" t="s">
        <v>11</v>
      </c>
      <c r="I30" t="s">
        <v>12</v>
      </c>
      <c r="J30">
        <v>3</v>
      </c>
      <c r="K30">
        <v>715</v>
      </c>
      <c r="L30">
        <v>2145</v>
      </c>
      <c r="N30" t="s">
        <v>29</v>
      </c>
      <c r="O30" s="4">
        <v>1392</v>
      </c>
    </row>
    <row r="31" spans="1:26" x14ac:dyDescent="0.35">
      <c r="A31">
        <v>1030</v>
      </c>
      <c r="B31" s="1">
        <v>45959</v>
      </c>
      <c r="C31" t="s">
        <v>49</v>
      </c>
      <c r="D31">
        <v>2025</v>
      </c>
      <c r="E31" t="s">
        <v>34</v>
      </c>
      <c r="F31" t="s">
        <v>35</v>
      </c>
      <c r="G31" t="s">
        <v>26</v>
      </c>
      <c r="H31" t="s">
        <v>21</v>
      </c>
      <c r="I31" t="s">
        <v>22</v>
      </c>
      <c r="J31">
        <v>4</v>
      </c>
      <c r="K31">
        <v>265</v>
      </c>
      <c r="L31">
        <v>1060</v>
      </c>
      <c r="N31" t="s">
        <v>51</v>
      </c>
      <c r="O31" s="4">
        <v>26834</v>
      </c>
    </row>
    <row r="32" spans="1:26" x14ac:dyDescent="0.35">
      <c r="A32" t="s">
        <v>50</v>
      </c>
      <c r="L32">
        <f>SUBTOTAL(109,Table2[Total_Sales])</f>
        <v>26834</v>
      </c>
    </row>
    <row r="34" spans="14:26" x14ac:dyDescent="0.35">
      <c r="Y34" s="2" t="s">
        <v>8</v>
      </c>
      <c r="Z34" t="s">
        <v>53</v>
      </c>
    </row>
    <row r="35" spans="14:26" x14ac:dyDescent="0.35">
      <c r="N35" s="2" t="s">
        <v>38</v>
      </c>
      <c r="O35" t="s">
        <v>52</v>
      </c>
      <c r="Y35" t="s">
        <v>23</v>
      </c>
      <c r="Z35" s="4">
        <v>24</v>
      </c>
    </row>
    <row r="36" spans="14:26" x14ac:dyDescent="0.35">
      <c r="N36" t="s">
        <v>49</v>
      </c>
      <c r="O36" s="4">
        <v>4305</v>
      </c>
      <c r="Y36" t="s">
        <v>26</v>
      </c>
      <c r="Z36" s="4">
        <v>49</v>
      </c>
    </row>
    <row r="37" spans="14:26" x14ac:dyDescent="0.35">
      <c r="N37" t="s">
        <v>46</v>
      </c>
      <c r="O37" s="4">
        <v>3500</v>
      </c>
      <c r="Y37" t="s">
        <v>18</v>
      </c>
      <c r="Z37" s="4">
        <v>26</v>
      </c>
    </row>
    <row r="38" spans="14:26" x14ac:dyDescent="0.35">
      <c r="N38" t="s">
        <v>42</v>
      </c>
      <c r="O38" s="4">
        <v>2995</v>
      </c>
      <c r="Y38" t="s">
        <v>20</v>
      </c>
      <c r="Z38" s="4">
        <v>36</v>
      </c>
    </row>
    <row r="39" spans="14:26" x14ac:dyDescent="0.35">
      <c r="N39" t="s">
        <v>48</v>
      </c>
      <c r="O39" s="4">
        <v>2890</v>
      </c>
      <c r="Y39" t="s">
        <v>51</v>
      </c>
      <c r="Z39" s="4">
        <v>135</v>
      </c>
    </row>
    <row r="40" spans="14:26" x14ac:dyDescent="0.35">
      <c r="N40" t="s">
        <v>44</v>
      </c>
      <c r="O40" s="4">
        <v>2680</v>
      </c>
    </row>
    <row r="41" spans="14:26" x14ac:dyDescent="0.35">
      <c r="N41" t="s">
        <v>45</v>
      </c>
      <c r="O41" s="4">
        <v>2644</v>
      </c>
    </row>
    <row r="42" spans="14:26" x14ac:dyDescent="0.35">
      <c r="N42" t="s">
        <v>40</v>
      </c>
      <c r="O42" s="4">
        <v>2590</v>
      </c>
    </row>
    <row r="43" spans="14:26" x14ac:dyDescent="0.35">
      <c r="N43" t="s">
        <v>47</v>
      </c>
      <c r="O43" s="4">
        <v>2414</v>
      </c>
    </row>
    <row r="44" spans="14:26" x14ac:dyDescent="0.35">
      <c r="N44" t="s">
        <v>43</v>
      </c>
      <c r="O44" s="4">
        <v>1802</v>
      </c>
    </row>
    <row r="45" spans="14:26" x14ac:dyDescent="0.35">
      <c r="N45" t="s">
        <v>41</v>
      </c>
      <c r="O45" s="4">
        <v>1014</v>
      </c>
    </row>
    <row r="46" spans="14:26" x14ac:dyDescent="0.35">
      <c r="N46" t="s">
        <v>51</v>
      </c>
      <c r="O46" s="4">
        <v>26834</v>
      </c>
    </row>
  </sheetData>
  <pageMargins left="0.7" right="0.7" top="0.75" bottom="0.75" header="0.3" footer="0.3"/>
  <drawing r:id="rId9"/>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FAAD-25A4-40FB-AD08-2DC377DEE58B}">
  <dimension ref="A1:L32"/>
  <sheetViews>
    <sheetView topLeftCell="A4" workbookViewId="0">
      <selection sqref="A1:L32"/>
    </sheetView>
  </sheetViews>
  <sheetFormatPr defaultRowHeight="14.5" x14ac:dyDescent="0.35"/>
  <cols>
    <col min="2" max="2" width="10.08984375" bestFit="1" customWidth="1"/>
    <col min="6" max="6" width="12.36328125" bestFit="1" customWidth="1"/>
    <col min="7" max="7" width="13.36328125" bestFit="1" customWidth="1"/>
    <col min="8" max="8" width="9.6328125" bestFit="1" customWidth="1"/>
    <col min="10" max="10" width="10.26953125" bestFit="1" customWidth="1"/>
    <col min="11" max="11" width="11.7265625" bestFit="1" customWidth="1"/>
    <col min="12" max="12" width="12.54296875" bestFit="1" customWidth="1"/>
  </cols>
  <sheetData>
    <row r="1" spans="1:12" x14ac:dyDescent="0.35">
      <c r="A1" t="s">
        <v>0</v>
      </c>
      <c r="B1" t="s">
        <v>1</v>
      </c>
      <c r="C1" t="s">
        <v>38</v>
      </c>
      <c r="D1" t="s">
        <v>39</v>
      </c>
      <c r="E1" t="s">
        <v>2</v>
      </c>
      <c r="F1" t="s">
        <v>3</v>
      </c>
      <c r="G1" t="s">
        <v>8</v>
      </c>
      <c r="H1" t="s">
        <v>4</v>
      </c>
      <c r="I1" t="s">
        <v>5</v>
      </c>
      <c r="J1" t="s">
        <v>6</v>
      </c>
      <c r="K1" t="s">
        <v>7</v>
      </c>
      <c r="L1" t="s">
        <v>37</v>
      </c>
    </row>
    <row r="2" spans="1:12" x14ac:dyDescent="0.35">
      <c r="A2">
        <v>1001</v>
      </c>
      <c r="B2" s="1">
        <v>45665</v>
      </c>
      <c r="C2" t="s">
        <v>40</v>
      </c>
      <c r="D2">
        <v>2025</v>
      </c>
      <c r="E2" t="s">
        <v>9</v>
      </c>
      <c r="F2" t="s">
        <v>10</v>
      </c>
      <c r="G2" t="s">
        <v>23</v>
      </c>
      <c r="H2" t="s">
        <v>11</v>
      </c>
      <c r="I2" t="s">
        <v>12</v>
      </c>
      <c r="J2">
        <v>2</v>
      </c>
      <c r="K2">
        <v>700</v>
      </c>
      <c r="L2">
        <v>1400</v>
      </c>
    </row>
    <row r="3" spans="1:12" x14ac:dyDescent="0.35">
      <c r="A3">
        <v>1002</v>
      </c>
      <c r="B3" s="1">
        <v>45672</v>
      </c>
      <c r="C3" t="s">
        <v>40</v>
      </c>
      <c r="D3">
        <v>2025</v>
      </c>
      <c r="E3" t="s">
        <v>24</v>
      </c>
      <c r="F3" t="s">
        <v>25</v>
      </c>
      <c r="G3" t="s">
        <v>26</v>
      </c>
      <c r="H3" t="s">
        <v>19</v>
      </c>
      <c r="I3" t="s">
        <v>12</v>
      </c>
      <c r="J3">
        <v>3</v>
      </c>
      <c r="K3">
        <v>230</v>
      </c>
      <c r="L3">
        <v>690</v>
      </c>
    </row>
    <row r="4" spans="1:12" x14ac:dyDescent="0.35">
      <c r="A4">
        <v>1003</v>
      </c>
      <c r="B4" s="1">
        <v>45684</v>
      </c>
      <c r="C4" t="s">
        <v>40</v>
      </c>
      <c r="D4">
        <v>2025</v>
      </c>
      <c r="E4" t="s">
        <v>27</v>
      </c>
      <c r="F4" t="s">
        <v>28</v>
      </c>
      <c r="G4" t="s">
        <v>18</v>
      </c>
      <c r="H4" t="s">
        <v>21</v>
      </c>
      <c r="I4" t="s">
        <v>22</v>
      </c>
      <c r="J4">
        <v>2</v>
      </c>
      <c r="K4">
        <v>250</v>
      </c>
      <c r="L4">
        <v>500</v>
      </c>
    </row>
    <row r="5" spans="1:12" x14ac:dyDescent="0.35">
      <c r="A5">
        <v>1004</v>
      </c>
      <c r="B5" s="1">
        <v>45694</v>
      </c>
      <c r="C5" t="s">
        <v>41</v>
      </c>
      <c r="D5">
        <v>2025</v>
      </c>
      <c r="E5" t="s">
        <v>29</v>
      </c>
      <c r="F5" t="s">
        <v>30</v>
      </c>
      <c r="G5" t="s">
        <v>20</v>
      </c>
      <c r="H5" t="s">
        <v>17</v>
      </c>
      <c r="I5" t="s">
        <v>15</v>
      </c>
      <c r="J5">
        <v>5</v>
      </c>
      <c r="K5">
        <v>30</v>
      </c>
      <c r="L5">
        <v>150</v>
      </c>
    </row>
    <row r="6" spans="1:12" x14ac:dyDescent="0.35">
      <c r="A6">
        <v>1005</v>
      </c>
      <c r="B6" s="1">
        <v>45706</v>
      </c>
      <c r="C6" t="s">
        <v>41</v>
      </c>
      <c r="D6">
        <v>2025</v>
      </c>
      <c r="E6" t="s">
        <v>9</v>
      </c>
      <c r="F6" t="s">
        <v>13</v>
      </c>
      <c r="G6" t="s">
        <v>23</v>
      </c>
      <c r="H6" t="s">
        <v>11</v>
      </c>
      <c r="I6" t="s">
        <v>12</v>
      </c>
      <c r="J6">
        <v>1</v>
      </c>
      <c r="K6">
        <v>720</v>
      </c>
      <c r="L6">
        <v>720</v>
      </c>
    </row>
    <row r="7" spans="1:12" x14ac:dyDescent="0.35">
      <c r="A7">
        <v>1006</v>
      </c>
      <c r="B7" s="1">
        <v>45713</v>
      </c>
      <c r="C7" t="s">
        <v>41</v>
      </c>
      <c r="D7">
        <v>2025</v>
      </c>
      <c r="E7" t="s">
        <v>32</v>
      </c>
      <c r="F7" t="s">
        <v>33</v>
      </c>
      <c r="G7" t="s">
        <v>26</v>
      </c>
      <c r="H7" t="s">
        <v>14</v>
      </c>
      <c r="I7" t="s">
        <v>15</v>
      </c>
      <c r="J7">
        <v>8</v>
      </c>
      <c r="K7">
        <v>18</v>
      </c>
      <c r="L7">
        <v>144</v>
      </c>
    </row>
    <row r="8" spans="1:12" x14ac:dyDescent="0.35">
      <c r="A8">
        <v>1007</v>
      </c>
      <c r="B8" s="1">
        <v>45721</v>
      </c>
      <c r="C8" t="s">
        <v>42</v>
      </c>
      <c r="D8">
        <v>2025</v>
      </c>
      <c r="E8" t="s">
        <v>24</v>
      </c>
      <c r="F8" t="s">
        <v>31</v>
      </c>
      <c r="G8" t="s">
        <v>18</v>
      </c>
      <c r="H8" t="s">
        <v>19</v>
      </c>
      <c r="I8" t="s">
        <v>12</v>
      </c>
      <c r="J8">
        <v>4</v>
      </c>
      <c r="K8">
        <v>225</v>
      </c>
      <c r="L8">
        <v>900</v>
      </c>
    </row>
    <row r="9" spans="1:12" x14ac:dyDescent="0.35">
      <c r="A9">
        <v>1008</v>
      </c>
      <c r="B9" s="1">
        <v>45732</v>
      </c>
      <c r="C9" t="s">
        <v>42</v>
      </c>
      <c r="D9">
        <v>2025</v>
      </c>
      <c r="E9" t="s">
        <v>34</v>
      </c>
      <c r="F9" t="s">
        <v>35</v>
      </c>
      <c r="G9" t="s">
        <v>20</v>
      </c>
      <c r="H9" t="s">
        <v>11</v>
      </c>
      <c r="I9" t="s">
        <v>12</v>
      </c>
      <c r="J9">
        <v>2</v>
      </c>
      <c r="K9">
        <v>680</v>
      </c>
      <c r="L9">
        <v>1360</v>
      </c>
    </row>
    <row r="10" spans="1:12" x14ac:dyDescent="0.35">
      <c r="A10">
        <v>1009</v>
      </c>
      <c r="B10" s="1">
        <v>45744</v>
      </c>
      <c r="C10" t="s">
        <v>42</v>
      </c>
      <c r="D10">
        <v>2025</v>
      </c>
      <c r="E10" t="s">
        <v>9</v>
      </c>
      <c r="F10" t="s">
        <v>16</v>
      </c>
      <c r="G10" t="s">
        <v>23</v>
      </c>
      <c r="H10" t="s">
        <v>21</v>
      </c>
      <c r="I10" t="s">
        <v>22</v>
      </c>
      <c r="J10">
        <v>3</v>
      </c>
      <c r="K10">
        <v>245</v>
      </c>
      <c r="L10">
        <v>735</v>
      </c>
    </row>
    <row r="11" spans="1:12" x14ac:dyDescent="0.35">
      <c r="A11">
        <v>1010</v>
      </c>
      <c r="B11" s="1">
        <v>45754</v>
      </c>
      <c r="C11" t="s">
        <v>43</v>
      </c>
      <c r="D11">
        <v>2025</v>
      </c>
      <c r="E11" t="s">
        <v>27</v>
      </c>
      <c r="F11" t="s">
        <v>36</v>
      </c>
      <c r="G11" t="s">
        <v>26</v>
      </c>
      <c r="H11" t="s">
        <v>17</v>
      </c>
      <c r="I11" t="s">
        <v>15</v>
      </c>
      <c r="J11">
        <v>10</v>
      </c>
      <c r="K11">
        <v>28</v>
      </c>
      <c r="L11">
        <v>280</v>
      </c>
    </row>
    <row r="12" spans="1:12" x14ac:dyDescent="0.35">
      <c r="A12">
        <v>1011</v>
      </c>
      <c r="B12" s="1">
        <v>45766</v>
      </c>
      <c r="C12" t="s">
        <v>43</v>
      </c>
      <c r="D12">
        <v>2025</v>
      </c>
      <c r="E12" t="s">
        <v>24</v>
      </c>
      <c r="F12" t="s">
        <v>25</v>
      </c>
      <c r="G12" t="s">
        <v>18</v>
      </c>
      <c r="H12" t="s">
        <v>11</v>
      </c>
      <c r="I12" t="s">
        <v>12</v>
      </c>
      <c r="J12">
        <v>2</v>
      </c>
      <c r="K12">
        <v>710</v>
      </c>
      <c r="L12">
        <v>1420</v>
      </c>
    </row>
    <row r="13" spans="1:12" x14ac:dyDescent="0.35">
      <c r="A13">
        <v>1012</v>
      </c>
      <c r="B13" s="1">
        <v>45773</v>
      </c>
      <c r="C13" t="s">
        <v>43</v>
      </c>
      <c r="D13">
        <v>2025</v>
      </c>
      <c r="E13" t="s">
        <v>29</v>
      </c>
      <c r="F13" t="s">
        <v>30</v>
      </c>
      <c r="G13" t="s">
        <v>20</v>
      </c>
      <c r="H13" t="s">
        <v>14</v>
      </c>
      <c r="I13" t="s">
        <v>15</v>
      </c>
      <c r="J13">
        <v>6</v>
      </c>
      <c r="K13">
        <v>17</v>
      </c>
      <c r="L13">
        <v>102</v>
      </c>
    </row>
    <row r="14" spans="1:12" x14ac:dyDescent="0.35">
      <c r="A14">
        <v>1013</v>
      </c>
      <c r="B14" s="1">
        <v>45781</v>
      </c>
      <c r="C14" t="s">
        <v>44</v>
      </c>
      <c r="D14">
        <v>2025</v>
      </c>
      <c r="E14" t="s">
        <v>9</v>
      </c>
      <c r="F14" t="s">
        <v>10</v>
      </c>
      <c r="G14" t="s">
        <v>23</v>
      </c>
      <c r="H14" t="s">
        <v>19</v>
      </c>
      <c r="I14" t="s">
        <v>12</v>
      </c>
      <c r="J14">
        <v>5</v>
      </c>
      <c r="K14">
        <v>235</v>
      </c>
      <c r="L14">
        <v>1175</v>
      </c>
    </row>
    <row r="15" spans="1:12" x14ac:dyDescent="0.35">
      <c r="A15">
        <v>1014</v>
      </c>
      <c r="B15" s="1">
        <v>45791</v>
      </c>
      <c r="C15" t="s">
        <v>44</v>
      </c>
      <c r="D15">
        <v>2025</v>
      </c>
      <c r="E15" t="s">
        <v>32</v>
      </c>
      <c r="F15" t="s">
        <v>33</v>
      </c>
      <c r="G15" t="s">
        <v>26</v>
      </c>
      <c r="H15" t="s">
        <v>21</v>
      </c>
      <c r="I15" t="s">
        <v>22</v>
      </c>
      <c r="J15">
        <v>3</v>
      </c>
      <c r="K15">
        <v>255</v>
      </c>
      <c r="L15">
        <v>765</v>
      </c>
    </row>
    <row r="16" spans="1:12" x14ac:dyDescent="0.35">
      <c r="A16">
        <v>1015</v>
      </c>
      <c r="B16" s="1">
        <v>45806</v>
      </c>
      <c r="C16" t="s">
        <v>44</v>
      </c>
      <c r="D16">
        <v>2025</v>
      </c>
      <c r="E16" t="s">
        <v>34</v>
      </c>
      <c r="F16" t="s">
        <v>35</v>
      </c>
      <c r="G16" t="s">
        <v>18</v>
      </c>
      <c r="H16" t="s">
        <v>11</v>
      </c>
      <c r="I16" t="s">
        <v>12</v>
      </c>
      <c r="J16">
        <v>1</v>
      </c>
      <c r="K16">
        <v>740</v>
      </c>
      <c r="L16">
        <v>740</v>
      </c>
    </row>
    <row r="17" spans="1:12" x14ac:dyDescent="0.35">
      <c r="A17">
        <v>1016</v>
      </c>
      <c r="B17" s="1">
        <v>45816</v>
      </c>
      <c r="C17" t="s">
        <v>45</v>
      </c>
      <c r="D17">
        <v>2025</v>
      </c>
      <c r="E17" t="s">
        <v>24</v>
      </c>
      <c r="F17" t="s">
        <v>25</v>
      </c>
      <c r="G17" t="s">
        <v>20</v>
      </c>
      <c r="H17" t="s">
        <v>17</v>
      </c>
      <c r="I17" t="s">
        <v>15</v>
      </c>
      <c r="J17">
        <v>12</v>
      </c>
      <c r="K17">
        <v>32</v>
      </c>
      <c r="L17">
        <v>384</v>
      </c>
    </row>
    <row r="18" spans="1:12" x14ac:dyDescent="0.35">
      <c r="A18">
        <v>1017</v>
      </c>
      <c r="B18" s="1">
        <v>45825</v>
      </c>
      <c r="C18" t="s">
        <v>45</v>
      </c>
      <c r="D18">
        <v>2025</v>
      </c>
      <c r="E18" t="s">
        <v>27</v>
      </c>
      <c r="F18" t="s">
        <v>28</v>
      </c>
      <c r="G18" t="s">
        <v>23</v>
      </c>
      <c r="H18" t="s">
        <v>11</v>
      </c>
      <c r="I18" t="s">
        <v>12</v>
      </c>
      <c r="J18">
        <v>3</v>
      </c>
      <c r="K18">
        <v>690</v>
      </c>
      <c r="L18">
        <v>2070</v>
      </c>
    </row>
    <row r="19" spans="1:12" x14ac:dyDescent="0.35">
      <c r="A19">
        <v>1018</v>
      </c>
      <c r="B19" s="1">
        <v>45833</v>
      </c>
      <c r="C19" t="s">
        <v>45</v>
      </c>
      <c r="D19">
        <v>2025</v>
      </c>
      <c r="E19" t="s">
        <v>9</v>
      </c>
      <c r="F19" t="s">
        <v>13</v>
      </c>
      <c r="G19" t="s">
        <v>26</v>
      </c>
      <c r="H19" t="s">
        <v>14</v>
      </c>
      <c r="I19" t="s">
        <v>15</v>
      </c>
      <c r="J19">
        <v>10</v>
      </c>
      <c r="K19">
        <v>19</v>
      </c>
      <c r="L19">
        <v>190</v>
      </c>
    </row>
    <row r="20" spans="1:12" x14ac:dyDescent="0.35">
      <c r="A20">
        <v>1019</v>
      </c>
      <c r="B20" s="1">
        <v>45844</v>
      </c>
      <c r="C20" t="s">
        <v>46</v>
      </c>
      <c r="D20">
        <v>2025</v>
      </c>
      <c r="E20" t="s">
        <v>29</v>
      </c>
      <c r="F20" t="s">
        <v>30</v>
      </c>
      <c r="G20" t="s">
        <v>18</v>
      </c>
      <c r="H20" t="s">
        <v>19</v>
      </c>
      <c r="I20" t="s">
        <v>12</v>
      </c>
      <c r="J20">
        <v>4</v>
      </c>
      <c r="K20">
        <v>240</v>
      </c>
      <c r="L20">
        <v>960</v>
      </c>
    </row>
    <row r="21" spans="1:12" x14ac:dyDescent="0.35">
      <c r="A21">
        <v>1020</v>
      </c>
      <c r="B21" s="1">
        <v>45853</v>
      </c>
      <c r="C21" t="s">
        <v>46</v>
      </c>
      <c r="D21">
        <v>2025</v>
      </c>
      <c r="E21" t="s">
        <v>24</v>
      </c>
      <c r="F21" t="s">
        <v>31</v>
      </c>
      <c r="G21" t="s">
        <v>20</v>
      </c>
      <c r="H21" t="s">
        <v>21</v>
      </c>
      <c r="I21" t="s">
        <v>22</v>
      </c>
      <c r="J21">
        <v>4</v>
      </c>
      <c r="K21">
        <v>260</v>
      </c>
      <c r="L21">
        <v>1040</v>
      </c>
    </row>
    <row r="22" spans="1:12" x14ac:dyDescent="0.35">
      <c r="A22">
        <v>1021</v>
      </c>
      <c r="B22" s="1">
        <v>45865</v>
      </c>
      <c r="C22" t="s">
        <v>46</v>
      </c>
      <c r="D22">
        <v>2025</v>
      </c>
      <c r="E22" t="s">
        <v>9</v>
      </c>
      <c r="F22" t="s">
        <v>10</v>
      </c>
      <c r="G22" t="s">
        <v>23</v>
      </c>
      <c r="H22" t="s">
        <v>11</v>
      </c>
      <c r="I22" t="s">
        <v>12</v>
      </c>
      <c r="J22">
        <v>2</v>
      </c>
      <c r="K22">
        <v>750</v>
      </c>
      <c r="L22">
        <v>1500</v>
      </c>
    </row>
    <row r="23" spans="1:12" x14ac:dyDescent="0.35">
      <c r="A23">
        <v>1022</v>
      </c>
      <c r="B23" s="1">
        <v>45874</v>
      </c>
      <c r="C23" t="s">
        <v>47</v>
      </c>
      <c r="D23">
        <v>2025</v>
      </c>
      <c r="E23" t="s">
        <v>34</v>
      </c>
      <c r="F23" t="s">
        <v>35</v>
      </c>
      <c r="G23" t="s">
        <v>26</v>
      </c>
      <c r="H23" t="s">
        <v>17</v>
      </c>
      <c r="I23" t="s">
        <v>15</v>
      </c>
      <c r="J23">
        <v>9</v>
      </c>
      <c r="K23">
        <v>31</v>
      </c>
      <c r="L23">
        <v>279</v>
      </c>
    </row>
    <row r="24" spans="1:12" x14ac:dyDescent="0.35">
      <c r="A24">
        <v>1023</v>
      </c>
      <c r="B24" s="1">
        <v>45887</v>
      </c>
      <c r="C24" t="s">
        <v>47</v>
      </c>
      <c r="D24">
        <v>2025</v>
      </c>
      <c r="E24" t="s">
        <v>27</v>
      </c>
      <c r="F24" t="s">
        <v>28</v>
      </c>
      <c r="G24" t="s">
        <v>18</v>
      </c>
      <c r="H24" t="s">
        <v>19</v>
      </c>
      <c r="I24" t="s">
        <v>12</v>
      </c>
      <c r="J24">
        <v>3</v>
      </c>
      <c r="K24">
        <v>245</v>
      </c>
      <c r="L24">
        <v>735</v>
      </c>
    </row>
    <row r="25" spans="1:12" x14ac:dyDescent="0.35">
      <c r="A25">
        <v>1024</v>
      </c>
      <c r="B25" s="1">
        <v>45895</v>
      </c>
      <c r="C25" t="s">
        <v>47</v>
      </c>
      <c r="D25">
        <v>2025</v>
      </c>
      <c r="E25" t="s">
        <v>32</v>
      </c>
      <c r="F25" t="s">
        <v>33</v>
      </c>
      <c r="G25" t="s">
        <v>20</v>
      </c>
      <c r="H25" t="s">
        <v>11</v>
      </c>
      <c r="I25" t="s">
        <v>12</v>
      </c>
      <c r="J25">
        <v>2</v>
      </c>
      <c r="K25">
        <v>700</v>
      </c>
      <c r="L25">
        <v>1400</v>
      </c>
    </row>
    <row r="26" spans="1:12" x14ac:dyDescent="0.35">
      <c r="A26">
        <v>1025</v>
      </c>
      <c r="B26" s="1">
        <v>45907</v>
      </c>
      <c r="C26" t="s">
        <v>48</v>
      </c>
      <c r="D26">
        <v>2025</v>
      </c>
      <c r="E26" t="s">
        <v>9</v>
      </c>
      <c r="F26" t="s">
        <v>16</v>
      </c>
      <c r="G26" t="s">
        <v>23</v>
      </c>
      <c r="H26" t="s">
        <v>21</v>
      </c>
      <c r="I26" t="s">
        <v>22</v>
      </c>
      <c r="J26">
        <v>5</v>
      </c>
      <c r="K26">
        <v>250</v>
      </c>
      <c r="L26">
        <v>1250</v>
      </c>
    </row>
    <row r="27" spans="1:12" x14ac:dyDescent="0.35">
      <c r="A27">
        <v>1026</v>
      </c>
      <c r="B27" s="1">
        <v>45916</v>
      </c>
      <c r="C27" t="s">
        <v>48</v>
      </c>
      <c r="D27">
        <v>2025</v>
      </c>
      <c r="E27" t="s">
        <v>24</v>
      </c>
      <c r="F27" t="s">
        <v>25</v>
      </c>
      <c r="G27" t="s">
        <v>26</v>
      </c>
      <c r="H27" t="s">
        <v>11</v>
      </c>
      <c r="I27" t="s">
        <v>12</v>
      </c>
      <c r="J27">
        <v>2</v>
      </c>
      <c r="K27">
        <v>730</v>
      </c>
      <c r="L27">
        <v>1460</v>
      </c>
    </row>
    <row r="28" spans="1:12" x14ac:dyDescent="0.35">
      <c r="A28">
        <v>1027</v>
      </c>
      <c r="B28" s="1">
        <v>45928</v>
      </c>
      <c r="C28" t="s">
        <v>48</v>
      </c>
      <c r="D28">
        <v>2025</v>
      </c>
      <c r="E28" t="s">
        <v>29</v>
      </c>
      <c r="F28" t="s">
        <v>30</v>
      </c>
      <c r="G28" t="s">
        <v>18</v>
      </c>
      <c r="H28" t="s">
        <v>14</v>
      </c>
      <c r="I28" t="s">
        <v>15</v>
      </c>
      <c r="J28">
        <v>10</v>
      </c>
      <c r="K28">
        <v>18</v>
      </c>
      <c r="L28">
        <v>180</v>
      </c>
    </row>
    <row r="29" spans="1:12" x14ac:dyDescent="0.35">
      <c r="A29">
        <v>1028</v>
      </c>
      <c r="B29" s="1">
        <v>45939</v>
      </c>
      <c r="C29" t="s">
        <v>49</v>
      </c>
      <c r="D29">
        <v>2025</v>
      </c>
      <c r="E29" t="s">
        <v>27</v>
      </c>
      <c r="F29" t="s">
        <v>36</v>
      </c>
      <c r="G29" t="s">
        <v>20</v>
      </c>
      <c r="H29" t="s">
        <v>19</v>
      </c>
      <c r="I29" t="s">
        <v>12</v>
      </c>
      <c r="J29">
        <v>5</v>
      </c>
      <c r="K29">
        <v>220</v>
      </c>
      <c r="L29">
        <v>1100</v>
      </c>
    </row>
    <row r="30" spans="1:12" x14ac:dyDescent="0.35">
      <c r="A30">
        <v>1029</v>
      </c>
      <c r="B30" s="1">
        <v>45947</v>
      </c>
      <c r="C30" t="s">
        <v>49</v>
      </c>
      <c r="D30">
        <v>2025</v>
      </c>
      <c r="E30" t="s">
        <v>9</v>
      </c>
      <c r="F30" t="s">
        <v>10</v>
      </c>
      <c r="G30" t="s">
        <v>23</v>
      </c>
      <c r="H30" t="s">
        <v>11</v>
      </c>
      <c r="I30" t="s">
        <v>12</v>
      </c>
      <c r="J30">
        <v>3</v>
      </c>
      <c r="K30">
        <v>715</v>
      </c>
      <c r="L30">
        <v>2145</v>
      </c>
    </row>
    <row r="31" spans="1:12" x14ac:dyDescent="0.35">
      <c r="A31">
        <v>1030</v>
      </c>
      <c r="B31" s="1">
        <v>45959</v>
      </c>
      <c r="C31" t="s">
        <v>49</v>
      </c>
      <c r="D31">
        <v>2025</v>
      </c>
      <c r="E31" t="s">
        <v>34</v>
      </c>
      <c r="F31" t="s">
        <v>35</v>
      </c>
      <c r="G31" t="s">
        <v>26</v>
      </c>
      <c r="H31" t="s">
        <v>21</v>
      </c>
      <c r="I31" t="s">
        <v>22</v>
      </c>
      <c r="J31">
        <v>4</v>
      </c>
      <c r="K31">
        <v>265</v>
      </c>
      <c r="L31">
        <v>1060</v>
      </c>
    </row>
    <row r="32" spans="1:12" x14ac:dyDescent="0.35">
      <c r="A32" t="s">
        <v>50</v>
      </c>
      <c r="L32">
        <f>SUBTOTAL(109,Table22[Total_Sales])</f>
        <v>26834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1900-D65C-48F2-8159-9C677A8FD2D0}">
  <dimension ref="A1"/>
  <sheetViews>
    <sheetView showGridLines="0" tabSelected="1" zoomScale="72" workbookViewId="0">
      <selection activeCell="Z8" sqref="Z8"/>
    </sheetView>
  </sheetViews>
  <sheetFormatPr defaultRowHeight="14.5" x14ac:dyDescent="0.35"/>
  <cols>
    <col min="1" max="24" width="8.7265625" style="3"/>
    <col min="25" max="25" width="0" style="3" hidden="1" customWidth="1"/>
    <col min="26" max="16384" width="8.7265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Row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 nasir mohamed</dc:creator>
  <cp:lastModifiedBy>abdi nasir mohamed</cp:lastModifiedBy>
  <dcterms:created xsi:type="dcterms:W3CDTF">2026-09-14T10:51:47Z</dcterms:created>
  <dcterms:modified xsi:type="dcterms:W3CDTF">2026-09-16T06:51:00Z</dcterms:modified>
</cp:coreProperties>
</file>